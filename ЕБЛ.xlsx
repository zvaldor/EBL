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Ответы на форму (1)" sheetId="1" r:id="rId5"/>
    <sheet state="visible" name="Общий зачет" sheetId="2" r:id="rId6"/>
    <sheet state="visible" name="недельный зачет" sheetId="3" r:id="rId7"/>
    <sheet state="visible" name="все бани" sheetId="4" r:id="rId8"/>
    <sheet state="visible" name="Регламент" sheetId="5" r:id="rId9"/>
    <sheet state="visible" name="2025 Общий зачет" sheetId="6" r:id="rId10"/>
    <sheet state="visible" name="2025 недельный зачет" sheetId="7" r:id="rId11"/>
    <sheet state="visible" name="2025 все бани" sheetId="8" r:id="rId12"/>
    <sheet state="visible" name="2025 кубок" sheetId="9" r:id="rId13"/>
    <sheet state="visible" name="2024 общий зачет" sheetId="10" r:id="rId14"/>
    <sheet state="visible" name="2025 Регламент" sheetId="11" r:id="rId15"/>
    <sheet state="visible" name="2024 недельный зачет" sheetId="12" r:id="rId16"/>
    <sheet state="visible" name="2024 все бани" sheetId="13" r:id="rId17"/>
    <sheet state="visible" name="2024 Кубок" sheetId="14" r:id="rId18"/>
    <sheet state="visible" name="2024 Регламент" sheetId="15" r:id="rId19"/>
    <sheet state="visible" name="2023 общий зачет" sheetId="16" r:id="rId20"/>
    <sheet state="visible" name="2023 недельный зачет" sheetId="17" r:id="rId21"/>
    <sheet state="visible" name="2023 все бани" sheetId="18" r:id="rId22"/>
    <sheet state="visible" name="2023 Регламент" sheetId="19" r:id="rId23"/>
    <sheet state="visible" name="2023 Кубок" sheetId="20" r:id="rId24"/>
  </sheets>
  <definedNames>
    <definedName hidden="1" localSheetId="3" name="_xlnm._FilterDatabase">'все бани'!$A$7:$AJ$1020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60">
      <text>
        <t xml:space="preserve">Очаковские, 1й разряд 
Цена. 3/5. 2300 за 1 разряд. Но есть программа кешбеков 5%, но баллы действуют месяц.
Атмосфера. 4/5. Посадку на половину. Вечернее спокойствие. 
Печка. 4/5. Пар крепкий. Ради нее и приезжал, так бы в востряки метнулся. 
Кухня. 3/5. Взял только пиво. Стоит разливное от 380₽.
Аквазона. 3/5. Есть купель, но вода уж очень холодная. 
Парение. Мужички готовят пар. Подбирают ароматы. Пар крепкий. 4/5
Выход на улицу через главный вход. Скамейки. 4/5
Ну и интерьер поприятнее чем в востряках, не тесновато в зале и в парной. 
25/35 EBL-points</t>
      </text>
    </comment>
    <comment authorId="0" ref="C458">
      <text>
        <t xml:space="preserve">Василёвские 
Цена. 5/5. Вход от бесплатного до ящика пиваса. 
Атмосфера. 5/5. Тут все зависит от коллективности. 
Печка. 4/5. После устанвки пушки Магола пар стал достойный. 
Кухня. 5/5. Лучшая кухня от заезжих угольных шеф поваров. 
Аквазона. 1/5. Пока только обливное ведро. 
Парение. 5/5. Любые ароматы, пихта в приоритете. 
Выход на улицу. Скамейки, снег. 5/5 
30/35 EBL-points</t>
      </text>
    </comment>
    <comment authorId="0" ref="C547">
      <text>
        <t xml:space="preserve">Химки, Николаевские бани
Цена. 5/5. 1000₽. На праздничный день не распространился прайс выходного дня (1300 или 1500). Оплата налом или сбп
Атмосфера. 2/5. Химкинский рабочий класс. Мужички: «а мы пьем водку». За другим столиком рабочего ремесла курьеров, сервиса электровеликов, авторемонта. В парилочке был спор про пар. Кому-то холодно, а кто-то веничками махается.
Печка. 4/5. Пар крепкий. Печка каменка. Парная небольшая, метров 10. 
Кухня. 0/5. Взяли с собой. Горячей кухни не заметил, есть в продаже напитки
Аквазона. 1/5. Есть купель. В душе надо ждать пока нагреется вода
Парение. 2/5. Пар не делают. Инициативную группу не заметили. Но есть махалка.
Выход на улицу через отдельный вход с так себе видом. Скамейки. 4/5
18/35 EBL-points</t>
      </text>
    </comment>
    <comment authorId="0" ref="C710">
      <text>
        <t xml:space="preserve">Банька провинциальная классика, мужичков полно, обсуждают кто как на новый год наебенил) 
Цена 450 (5/5) 
Атмосфера 4/5
Печка мощная классика, но совсем не проветрить парилку - влажно обжигающе 3/5
Парения сам никто не готовит, чисто веничками машут и травку кто-то клал видимо совсем утром 2/5
Кухни/буфета нет 0/5
Аквазона,Бассейна/купели нет. Душ один 🙈 0/5
Выход на улицу - через главную дверь, то есть в полотенцах. Но зачетно всегда это! 4/5
Итого 18/35</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25">
      <text>
        <t xml:space="preserve">Банька провинциальная классика, мужичков полно, обсуждают кто как на новый год наебенил) 
Цена 450 (5/5) 
Атмосфера 4/5
Печка мощная классика, но совсем не проветрить парилку - влажно обжигающе 3/5
Парения сам никто не готовит, чисто веничками машут и травку кто-то клал видимо совсем утром 2/5
Кухни/буфета нет 0/5
Аквазона,Бассейна/купели нет. Душ один 🙈 0/5
Выход на улицу - через главную дверь, то есть в полотенцах. Но зачетно всегда это! 4/5
Итого 18/35</t>
      </text>
    </comment>
    <comment authorId="0" ref="B103">
      <text>
        <t xml:space="preserve">Василёвские 
Цена. 5/5. Вход от бесплатного до ящика пиваса. 
Атмосфера. 5/5. Тут все зависит от коллективности. 
Печка. 4/5. После устанвки пушки Магола пар стал достойный. 
Кухня. 5/5. Лучшая кухня от заезжих угольных шеф поваров. 
Аквазона. 1/5. Пока только обливное ведро. 
Парение. 5/5. Любые ароматы, пихта в приоритете. 
Выход на улицу. Скамейки, снег. 5/5 
30/35 EBL-points</t>
      </text>
    </comment>
    <comment authorId="0" ref="B409">
      <text>
        <t xml:space="preserve">Очаковские, 1й разряд 
Цена. 3/5. 2300 за 1 разряд. Но есть программа кешбеков 5%, но баллы действуют месяц.
Атмосфера. 4/5. Посадку на половину. Вечернее спокойствие. 
Печка. 4/5. Пар крепкий. Ради нее и приезжал, так бы в востряки метнулся. 
Кухня. 3/5. Взял только пиво. Стоит разливное от 380₽.
Аквазона. 3/5. Есть купель, но вода уж очень холодная. 
Парение. Мужички готовят пар. Подбирают ароматы. Пар крепкий. 4/5
Выход на улицу через главный вход. Скамейки. 4/5
Ну и интерьер поприятнее чем в востряках, не тесновато в зале и в парной. 
25/35 EBL-points</t>
      </text>
    </comment>
    <comment authorId="0" ref="B685">
      <text>
        <t xml:space="preserve">Химки, Николаевские бани
Цена. 5/5. 1000₽. На праздничный день не распространился прайс выходного дня (1300 или 1500). Оплата налом или сбп
Атмосфера. 2/5. Химкинский рабочий класс. Мужички: «а мы пьем водку». За другим столиком рабочего ремесла курьеров, сервиса электровеликов, авторемонта. В парилочке был спор про пар. Кому-то холодно, а кто-то веничками махается.
Печка. 4/5. Пар крепкий. Печка каменка. Парная небольшая, метров 10. 
Кухня. 0/5. Взяли с собой. Горячей кухни не заметил, есть в продаже напитки
Аквазона. 1/5. Есть купель. В душе надо ждать пока нагреется вода
Парение. 2/5. Пар не делают. Инициативную группу не заметили. Но есть махалка.
Выход на улицу через отдельный вход с так себе видом. Скамейки. 4/5
18/35 EBL-points</t>
      </text>
    </comment>
  </commentList>
</comments>
</file>

<file path=xl/sharedStrings.xml><?xml version="1.0" encoding="utf-8"?>
<sst xmlns="http://schemas.openxmlformats.org/spreadsheetml/2006/main" count="6484" uniqueCount="1473">
  <si>
    <t>Отметка времени</t>
  </si>
  <si>
    <t>Вопрос без заголовка</t>
  </si>
  <si>
    <t>Итого</t>
  </si>
  <si>
    <t>К-во</t>
  </si>
  <si>
    <t>У</t>
  </si>
  <si>
    <t>УУ</t>
  </si>
  <si>
    <t>Дл</t>
  </si>
  <si>
    <t>К</t>
  </si>
  <si>
    <t>Общ</t>
  </si>
  <si>
    <t>Рег</t>
  </si>
  <si>
    <t>W8</t>
  </si>
  <si>
    <t>W7</t>
  </si>
  <si>
    <t>W6</t>
  </si>
  <si>
    <t>W5</t>
  </si>
  <si>
    <t>W4</t>
  </si>
  <si>
    <t>W3</t>
  </si>
  <si>
    <t>W2</t>
  </si>
  <si>
    <t>W1</t>
  </si>
  <si>
    <t>Леха</t>
  </si>
  <si>
    <t>Шурик</t>
  </si>
  <si>
    <t xml:space="preserve">Витёк </t>
  </si>
  <si>
    <t>Денис</t>
  </si>
  <si>
    <t>Женёк В</t>
  </si>
  <si>
    <t>Ден</t>
  </si>
  <si>
    <t>Диман</t>
  </si>
  <si>
    <t>Арс</t>
  </si>
  <si>
    <t>Фил</t>
  </si>
  <si>
    <t>san4ony</t>
  </si>
  <si>
    <t>Хвост</t>
  </si>
  <si>
    <t>Миша П</t>
  </si>
  <si>
    <t>Данюс</t>
  </si>
  <si>
    <t>Ахмед</t>
  </si>
  <si>
    <t>Даня</t>
  </si>
  <si>
    <t>Симба</t>
  </si>
  <si>
    <t>Alex B</t>
  </si>
  <si>
    <t>Махмуд</t>
  </si>
  <si>
    <t>Толмач</t>
  </si>
  <si>
    <t>Макс</t>
  </si>
  <si>
    <t>Жанат</t>
  </si>
  <si>
    <t>Женёк З</t>
  </si>
  <si>
    <t>Леха С</t>
  </si>
  <si>
    <t>Вадик</t>
  </si>
  <si>
    <t>Дёс</t>
  </si>
  <si>
    <t>Чен</t>
  </si>
  <si>
    <t>Пашок</t>
  </si>
  <si>
    <t>Костян</t>
  </si>
  <si>
    <t>Король</t>
  </si>
  <si>
    <t>Серёга</t>
  </si>
  <si>
    <t>Саня С</t>
  </si>
  <si>
    <t>Самат</t>
  </si>
  <si>
    <t>Дор</t>
  </si>
  <si>
    <t>Всего</t>
  </si>
  <si>
    <t>W9</t>
  </si>
  <si>
    <t>Страна</t>
  </si>
  <si>
    <t>Регион</t>
  </si>
  <si>
    <t>Компания</t>
  </si>
  <si>
    <t>Региональная</t>
  </si>
  <si>
    <t>Общественная</t>
  </si>
  <si>
    <t>Долгая (&gt;2,5ч)</t>
  </si>
  <si>
    <t>Ультра Уникальные</t>
  </si>
  <si>
    <t>Уникальные</t>
  </si>
  <si>
    <t>Австрия</t>
  </si>
  <si>
    <t>Вена</t>
  </si>
  <si>
    <t>Паппенхайм2</t>
  </si>
  <si>
    <t>Apostelbad</t>
  </si>
  <si>
    <t>Dublinger</t>
  </si>
  <si>
    <t>Jorgerbad</t>
  </si>
  <si>
    <t>1р аква дом</t>
  </si>
  <si>
    <t>2р аква дом</t>
  </si>
  <si>
    <t>Таурен Спа</t>
  </si>
  <si>
    <t>Römertherme Baden</t>
  </si>
  <si>
    <t>weberstube</t>
  </si>
  <si>
    <t>Армения</t>
  </si>
  <si>
    <t>Ереван</t>
  </si>
  <si>
    <t>Ереван, Cross resort</t>
  </si>
  <si>
    <t>Ереван, Ibiza spa</t>
  </si>
  <si>
    <t>Ереван, Ofuro spa</t>
  </si>
  <si>
    <t>Ереванская</t>
  </si>
  <si>
    <t>Беларусь</t>
  </si>
  <si>
    <t>Минск</t>
  </si>
  <si>
    <t>Минск, баня 1</t>
  </si>
  <si>
    <t>Минск, баня 11</t>
  </si>
  <si>
    <t>Минск, баня 13</t>
  </si>
  <si>
    <t>Минск, баня 7</t>
  </si>
  <si>
    <t>Минск, баня 8</t>
  </si>
  <si>
    <t>Минск, Лазня</t>
  </si>
  <si>
    <t xml:space="preserve">Минск, Президент </t>
  </si>
  <si>
    <t>Минск, Фристайл</t>
  </si>
  <si>
    <t>Минск, the  Баня</t>
  </si>
  <si>
    <t>Бельгия</t>
  </si>
  <si>
    <t>Фландрия западная</t>
  </si>
  <si>
    <t>Гест хаус скиндлес</t>
  </si>
  <si>
    <t>Боливия</t>
  </si>
  <si>
    <t>Боливия, Palacio de Sal</t>
  </si>
  <si>
    <t>Венгрия</t>
  </si>
  <si>
    <t>Будапешт</t>
  </si>
  <si>
    <t>Будапешт, Сечени</t>
  </si>
  <si>
    <t>Гватемала</t>
  </si>
  <si>
    <t>Гватемала, Westin camino hotel</t>
  </si>
  <si>
    <t>Германия</t>
  </si>
  <si>
    <t>Берлин</t>
  </si>
  <si>
    <t>Берлин, Babor</t>
  </si>
  <si>
    <t>Берлин, Liquidrom</t>
  </si>
  <si>
    <t>Берлин, Park Inn</t>
  </si>
  <si>
    <t>Mecklenburg-Vorpommern</t>
  </si>
  <si>
    <t>Дом отдыха "Три чайки", Zierow</t>
  </si>
  <si>
    <t>De Poeler Drift 5А,</t>
  </si>
  <si>
    <t>Schleswig-Holstein</t>
  </si>
  <si>
    <t>Campusbad Фленсбург</t>
  </si>
  <si>
    <t>Германия,  Tropical island</t>
  </si>
  <si>
    <t>Германия, аквапарк Мирамар</t>
  </si>
  <si>
    <t>Германия, Баден-Баден, Caracale therm</t>
  </si>
  <si>
    <t>Германия, Кёльн, Claudius therms</t>
  </si>
  <si>
    <t>Германия, Мюнхен, Freizeitbad Pullach</t>
  </si>
  <si>
    <t>Германия, Buhl, Schwitztube</t>
  </si>
  <si>
    <t>Гонконг</t>
  </si>
  <si>
    <t>Гонконг, Kimpton tsim sha tsui</t>
  </si>
  <si>
    <t>Греция</t>
  </si>
  <si>
    <t>Греция, Санторини</t>
  </si>
  <si>
    <t>Грузия</t>
  </si>
  <si>
    <t>Аджария</t>
  </si>
  <si>
    <t>Батуми, Монарх отель</t>
  </si>
  <si>
    <t>Грузия, Гудаури Марко Поло отель</t>
  </si>
  <si>
    <t>Грузия, Chreli Abano</t>
  </si>
  <si>
    <t>Грузия, Kazbegi rooms</t>
  </si>
  <si>
    <t>Тбилиси, баня 5</t>
  </si>
  <si>
    <t>Ирландия</t>
  </si>
  <si>
    <t>Ирландия, Хотбокс Слайго</t>
  </si>
  <si>
    <t>Исландия</t>
  </si>
  <si>
    <t>Исландия, blue lagoon</t>
  </si>
  <si>
    <t>Испания</t>
  </si>
  <si>
    <t>Испания, голодранцы</t>
  </si>
  <si>
    <t>Испания, Сан-Себастьян, La Peria spa</t>
  </si>
  <si>
    <t>Испания, сауна</t>
  </si>
  <si>
    <t>Испания, balneario de archena</t>
  </si>
  <si>
    <t>Испания, Thalasi</t>
  </si>
  <si>
    <t>Италия</t>
  </si>
  <si>
    <t>Италия, озеро Комо</t>
  </si>
  <si>
    <t>Казахстан</t>
  </si>
  <si>
    <t>Алматы</t>
  </si>
  <si>
    <t>Алматы, 2200 походная</t>
  </si>
  <si>
    <t>Алматы, Арасан</t>
  </si>
  <si>
    <t>Алматы, Хаят Рахат</t>
  </si>
  <si>
    <t>Алматы, Dedemans</t>
  </si>
  <si>
    <t>Астана</t>
  </si>
  <si>
    <t>Астана, Орловские</t>
  </si>
  <si>
    <t>Астана, Пихта</t>
  </si>
  <si>
    <t>Казахстан, в горах</t>
  </si>
  <si>
    <t>Кипр</t>
  </si>
  <si>
    <t>Кипр, Пелендри</t>
  </si>
  <si>
    <t>Киргизия</t>
  </si>
  <si>
    <t>Бишкек</t>
  </si>
  <si>
    <t xml:space="preserve">Бишкек, Каусар </t>
  </si>
  <si>
    <t>Китай</t>
  </si>
  <si>
    <t>Китай, вторая</t>
  </si>
  <si>
    <t>Китай, Харбин, Lanting</t>
  </si>
  <si>
    <t>Китай, Hilton Beijing capital</t>
  </si>
  <si>
    <t>Китай, Palm spring</t>
  </si>
  <si>
    <t>Корея</t>
  </si>
  <si>
    <t>Корея, Гангамстайл</t>
  </si>
  <si>
    <t>Латвия</t>
  </si>
  <si>
    <t>Рига</t>
  </si>
  <si>
    <t>Рига, баня 1</t>
  </si>
  <si>
    <t>Рига, баня 1 жр</t>
  </si>
  <si>
    <t>Рига, на Силикатной</t>
  </si>
  <si>
    <t>Рига, Прежу 10</t>
  </si>
  <si>
    <t>Рига, Imantas</t>
  </si>
  <si>
    <t>Рига, Jauna Pardaugavas</t>
  </si>
  <si>
    <t>Рига, Mana Pirts</t>
  </si>
  <si>
    <t>Рига, Martinielas</t>
  </si>
  <si>
    <t>Рига, Masaza</t>
  </si>
  <si>
    <t>Рига, Nellijas</t>
  </si>
  <si>
    <t>Рига, Pardaugavas</t>
  </si>
  <si>
    <t>Рига, Pie Lietas</t>
  </si>
  <si>
    <t>Рига, Purvciema</t>
  </si>
  <si>
    <t>Рига, Radisson Elizabete хуитнес</t>
  </si>
  <si>
    <t>Рига, Vizlas pirts</t>
  </si>
  <si>
    <t>Латвия, Валмиера, Peldbaseinu</t>
  </si>
  <si>
    <t>Латвия, Валмиерская</t>
  </si>
  <si>
    <t>Латвия, Вентспилс городская</t>
  </si>
  <si>
    <t>Латвия, Клайпедские</t>
  </si>
  <si>
    <t>Латвия, Кулдига Городская</t>
  </si>
  <si>
    <t>Латвия, Лиепая, Lacis</t>
  </si>
  <si>
    <t>Латвия, у Рейниса</t>
  </si>
  <si>
    <t>Латвия, Salaspils городская</t>
  </si>
  <si>
    <t>Юрмала, Priedaine</t>
  </si>
  <si>
    <t>Литва</t>
  </si>
  <si>
    <t>Вильнюс</t>
  </si>
  <si>
    <t>Вильнюс, Виши аквапарк</t>
  </si>
  <si>
    <t>Литва, Pajurio pirtis</t>
  </si>
  <si>
    <t>Литва, Sillamäe городская</t>
  </si>
  <si>
    <t>Марокко</t>
  </si>
  <si>
    <t>Марокко, Марракеш, Villas Des oranges</t>
  </si>
  <si>
    <t>Марокко, Марракеш,Riad Tarabel</t>
  </si>
  <si>
    <t>Мексика</t>
  </si>
  <si>
    <t>Мексика, Мехико,  Amsterdam 43</t>
  </si>
  <si>
    <t>Мексика, Мехико, Durango</t>
  </si>
  <si>
    <t>Мексика, Мехико, inspiracion</t>
  </si>
  <si>
    <t xml:space="preserve">Мексика, Мехико, koti </t>
  </si>
  <si>
    <t>Мексика, Мехико, Nemiia spa</t>
  </si>
  <si>
    <t>Мексика, Мехико, Nima urban spa</t>
  </si>
  <si>
    <t>Непал</t>
  </si>
  <si>
    <t>Непал, Катманду, spa paradise</t>
  </si>
  <si>
    <t>Нидерланды</t>
  </si>
  <si>
    <t>Амстердам</t>
  </si>
  <si>
    <t>Амстер,  Hima spa</t>
  </si>
  <si>
    <t>Амстер, хуитнес</t>
  </si>
  <si>
    <t>Амстер, Fort Beemster</t>
  </si>
  <si>
    <t>Амстер, Kuuma 1</t>
  </si>
  <si>
    <t>Амстер, Kuuma 2</t>
  </si>
  <si>
    <t>Амстер, Pillows hotel spa</t>
  </si>
  <si>
    <t>Zuiver Welness</t>
  </si>
  <si>
    <t>Утрехт</t>
  </si>
  <si>
    <t>Commit health club</t>
  </si>
  <si>
    <t>Новая Зеландия</t>
  </si>
  <si>
    <t>Queenstown</t>
  </si>
  <si>
    <t>WaterShed sauna</t>
  </si>
  <si>
    <t>Норвегия</t>
  </si>
  <si>
    <t>Норвегия, Reinefjord Sjøhus, Skagen, Reine</t>
  </si>
  <si>
    <t>Норвегия, Risoyhamn Syohus</t>
  </si>
  <si>
    <t>Норвегия, Ritva</t>
  </si>
  <si>
    <t>Норвегия, Svolvær</t>
  </si>
  <si>
    <t>Норвегия, Vag sauna</t>
  </si>
  <si>
    <t>Тромсё, fiord s babami</t>
  </si>
  <si>
    <t>ОАЭ</t>
  </si>
  <si>
    <t>Абу-Даби</t>
  </si>
  <si>
    <t>Риксос Марина</t>
  </si>
  <si>
    <t>Hotel Khalidiya Palace Rayhaan by Rotana</t>
  </si>
  <si>
    <t>vogo hotel</t>
  </si>
  <si>
    <t>Дубай</t>
  </si>
  <si>
    <t>Bonnington</t>
  </si>
  <si>
    <t>grand hyatt spa</t>
  </si>
  <si>
    <t>Jannah Hotel, Dubai Marina</t>
  </si>
  <si>
    <t>Movenpick</t>
  </si>
  <si>
    <t>Novotel jvt</t>
  </si>
  <si>
    <t>Португалия</t>
  </si>
  <si>
    <t>Лиссабон, Space vintage</t>
  </si>
  <si>
    <t>Португалия, Golf Mar</t>
  </si>
  <si>
    <t>Россия</t>
  </si>
  <si>
    <t>Алтайский край</t>
  </si>
  <si>
    <t>Алтай, Беловодье</t>
  </si>
  <si>
    <t>Алтай, Благодать</t>
  </si>
  <si>
    <t>Барнаул, баня 24</t>
  </si>
  <si>
    <t>Барнаул, баня 36</t>
  </si>
  <si>
    <t>Барнаул, Гоньбинские</t>
  </si>
  <si>
    <t>Барнаул, Гущинские</t>
  </si>
  <si>
    <t>Барнаул, Павловские</t>
  </si>
  <si>
    <t>Барнаул, Центральные бани</t>
  </si>
  <si>
    <t>Амурская обл</t>
  </si>
  <si>
    <t>Благовещенск, баня 3</t>
  </si>
  <si>
    <t>Благовещенск, баня 6</t>
  </si>
  <si>
    <t>Астраханская обл</t>
  </si>
  <si>
    <t>Астрахань, Вертикаль</t>
  </si>
  <si>
    <t>Астрахань, Столяровская</t>
  </si>
  <si>
    <t>Астрахань, Царевская</t>
  </si>
  <si>
    <t>Башкортостан</t>
  </si>
  <si>
    <t>Абзаково, Эдельвейс</t>
  </si>
  <si>
    <t>Уфа, 3000</t>
  </si>
  <si>
    <t>Уфа, Новомостовые</t>
  </si>
  <si>
    <t>Уфа, с Легким паром, малая баня</t>
  </si>
  <si>
    <t>Уфа, Столичные</t>
  </si>
  <si>
    <t>Уфа, Уфимские</t>
  </si>
  <si>
    <t>Владимирская обл</t>
  </si>
  <si>
    <t>Владимир, Красносельские</t>
  </si>
  <si>
    <t>Владимир, Красносельский пр. 6а</t>
  </si>
  <si>
    <t>Владимир, Отель Велес</t>
  </si>
  <si>
    <t>Владимир, спа Князь Владимир</t>
  </si>
  <si>
    <t>Суздаль, Летопись</t>
  </si>
  <si>
    <t>Суздаль, Светлая</t>
  </si>
  <si>
    <t>Волгоградская обл</t>
  </si>
  <si>
    <t>Волгоград, Мыльни Володимира 1 этаж</t>
  </si>
  <si>
    <t>Волгоград, Сурские высший</t>
  </si>
  <si>
    <t>Волгоград, Andreeff club</t>
  </si>
  <si>
    <t>Вологодская обл, г. Сокол</t>
  </si>
  <si>
    <t>Вологодская обл</t>
  </si>
  <si>
    <t>Великоустюгская</t>
  </si>
  <si>
    <t>Вологда, Водниковские</t>
  </si>
  <si>
    <t>Вологда, Некрасовские</t>
  </si>
  <si>
    <t>Вологда, Солодуны</t>
  </si>
  <si>
    <t>Воронежская обл</t>
  </si>
  <si>
    <t>Воронеж, Петровские</t>
  </si>
  <si>
    <t>Горный Алтай</t>
  </si>
  <si>
    <t>Алтай, 4 богатыря</t>
  </si>
  <si>
    <t>Алтай, Зеленые холмы</t>
  </si>
  <si>
    <t>Алтай, Инегень</t>
  </si>
  <si>
    <t>Алтай, Мульты</t>
  </si>
  <si>
    <t>Алтай, Рублевка</t>
  </si>
  <si>
    <t>Алтай, Сандуны</t>
  </si>
  <si>
    <t>Забайкальский край</t>
  </si>
  <si>
    <t>Чита, Акватория</t>
  </si>
  <si>
    <t>Ивановская обл</t>
  </si>
  <si>
    <t>Иваново, баня 9</t>
  </si>
  <si>
    <t>Иркутская обл</t>
  </si>
  <si>
    <t>Иркутск, баня 10</t>
  </si>
  <si>
    <t>Иркутск, баня 2</t>
  </si>
  <si>
    <t>Иркутск, баня 8</t>
  </si>
  <si>
    <t>Иркутск, Баснинские</t>
  </si>
  <si>
    <t>Иркутск, Георгиевские</t>
  </si>
  <si>
    <t>Иркутск, Добропар</t>
  </si>
  <si>
    <t>Иркутск, Илимские</t>
  </si>
  <si>
    <t>Иркутск, на Мухиной</t>
  </si>
  <si>
    <t>Иркутск, отель Светлый</t>
  </si>
  <si>
    <t>Листвянка, Маяк сауна</t>
  </si>
  <si>
    <t>Ольхон, Душевная</t>
  </si>
  <si>
    <t>Ольхон, с панорамным видом</t>
  </si>
  <si>
    <t>Ольхон, Харанцы бочка</t>
  </si>
  <si>
    <t>Ольхон, trail баня</t>
  </si>
  <si>
    <t>Усть-кут, Берлога</t>
  </si>
  <si>
    <t>Калининградская обл</t>
  </si>
  <si>
    <t>Зеленоградск, Зеленоградские</t>
  </si>
  <si>
    <t>Зеленоградск, Резиденция спа</t>
  </si>
  <si>
    <t>Кёниг, баня 1 Комсомольская</t>
  </si>
  <si>
    <t>Кёниг, баня 7 на Герцена</t>
  </si>
  <si>
    <t>Кёниг, К8 Адмиральский</t>
  </si>
  <si>
    <t>Кёниг, Лëд</t>
  </si>
  <si>
    <t>Кёниг, на Суворова</t>
  </si>
  <si>
    <t>Кёниг, Суворовская</t>
  </si>
  <si>
    <t>Кёниг, ул. Грига</t>
  </si>
  <si>
    <t>Кёниг, ул. Дзержинского</t>
  </si>
  <si>
    <t>Куршская коса, отель Маяковский</t>
  </si>
  <si>
    <t>Светлогорск, Баден спа</t>
  </si>
  <si>
    <t>Светлогорские</t>
  </si>
  <si>
    <t>Советск, ул. Красноармейская 5</t>
  </si>
  <si>
    <t>Янтарный</t>
  </si>
  <si>
    <t>Калмыкия</t>
  </si>
  <si>
    <t>Калмыкия, турбаза Степняк</t>
  </si>
  <si>
    <t>Калужская обл</t>
  </si>
  <si>
    <t>Частная, Тарусская Скульпторская</t>
  </si>
  <si>
    <t>Калужская обл.</t>
  </si>
  <si>
    <t>Частная, Тарусско-Волковские</t>
  </si>
  <si>
    <t>Камчатский край</t>
  </si>
  <si>
    <t>Елизово, городская</t>
  </si>
  <si>
    <t>Петропавловск-камчатский, Камчатский пар</t>
  </si>
  <si>
    <t>Петропавловск-камчатский, на Маховой</t>
  </si>
  <si>
    <t>Карачаево-Черкессия</t>
  </si>
  <si>
    <t>Архыз, Софийские вершины</t>
  </si>
  <si>
    <t>Архыз, Axis spa</t>
  </si>
  <si>
    <t>Архыз, Pino spa</t>
  </si>
  <si>
    <t>Карелия</t>
  </si>
  <si>
    <t>Петрозаводск, баня 1</t>
  </si>
  <si>
    <t>Петрозаводск, баня 5</t>
  </si>
  <si>
    <t>Петрозаводск, баня 8</t>
  </si>
  <si>
    <t>Петрозаводск, на Лесной</t>
  </si>
  <si>
    <t>Петрозаводск, у Палыча</t>
  </si>
  <si>
    <t>Vottovaara mountain race</t>
  </si>
  <si>
    <t>Кемеровская обл</t>
  </si>
  <si>
    <t>Шерегеш, баня на автостоянке</t>
  </si>
  <si>
    <t>Шерегеш, баня на Дзержинского</t>
  </si>
  <si>
    <t>Шерегеш, Ковчег Геш</t>
  </si>
  <si>
    <t>Шерегеш, Постоялый двор, сруб 2</t>
  </si>
  <si>
    <t>Шерегеш, Серебряные родники</t>
  </si>
  <si>
    <t>Шерегеш, Taenza spa</t>
  </si>
  <si>
    <t>Шерегеш, wow aparts and spa</t>
  </si>
  <si>
    <t>Кировская обл</t>
  </si>
  <si>
    <t>Киров, баня в Новом</t>
  </si>
  <si>
    <t>Киров, Вятские</t>
  </si>
  <si>
    <t>Киров, Вятские жр</t>
  </si>
  <si>
    <t>Киров, Главбаня</t>
  </si>
  <si>
    <t>Киров, Западные бани</t>
  </si>
  <si>
    <t>Киров, Коминтерновские</t>
  </si>
  <si>
    <t>Киров, Луговая</t>
  </si>
  <si>
    <t>Киров, Лянгасово</t>
  </si>
  <si>
    <t>Киров, Макарьевские</t>
  </si>
  <si>
    <t>Киров, Центральная баня</t>
  </si>
  <si>
    <t>Киров, Центральная сауна</t>
  </si>
  <si>
    <t>Киров, Южная</t>
  </si>
  <si>
    <t>Коми</t>
  </si>
  <si>
    <t>Сыктывкар, баня 10</t>
  </si>
  <si>
    <t>Сыктывкар, баня 11</t>
  </si>
  <si>
    <t>Сыктывкар, баня 3</t>
  </si>
  <si>
    <t>Сыктывкар, баня 4</t>
  </si>
  <si>
    <t>Сыктывкар, баня 5</t>
  </si>
  <si>
    <t>Сыктывкар, баня 6</t>
  </si>
  <si>
    <t>Сыктывкар, баня 7</t>
  </si>
  <si>
    <t>Сыктывкар, баня 8</t>
  </si>
  <si>
    <t>Сыктывкар, баня 9</t>
  </si>
  <si>
    <t>Костромская обл</t>
  </si>
  <si>
    <t>Кострома, баня 8</t>
  </si>
  <si>
    <t>Кострома, отель Аристократ</t>
  </si>
  <si>
    <t>Краснодарский край</t>
  </si>
  <si>
    <t>Анапа, Серотонин спа</t>
  </si>
  <si>
    <t>Краснодар, на Октябрьской</t>
  </si>
  <si>
    <t>Краснодар, Три богатыря, Добрынинский</t>
  </si>
  <si>
    <t>Краснодар, Три богатыря, Муромский</t>
  </si>
  <si>
    <t>Сочи аквапарк</t>
  </si>
  <si>
    <t>Сочи, 4 стихии 960</t>
  </si>
  <si>
    <t>Сочи, Алконт</t>
  </si>
  <si>
    <t>Сочи, баня Ленд, Хагакуре</t>
  </si>
  <si>
    <t>Сочи, Вальс Цветов</t>
  </si>
  <si>
    <t>Сочи, Жаркая баня</t>
  </si>
  <si>
    <t xml:space="preserve">Сочи, Заповедная </t>
  </si>
  <si>
    <t>Сочи, Мантера</t>
  </si>
  <si>
    <t xml:space="preserve">Сочи, отель Космос </t>
  </si>
  <si>
    <t>Сочи, отель Мовенпик 501</t>
  </si>
  <si>
    <t>Сочи, Панорама отель</t>
  </si>
  <si>
    <t>Сочи, пивоварня</t>
  </si>
  <si>
    <t>Сочи, Пихта</t>
  </si>
  <si>
    <t>Сочи, Риксос спа</t>
  </si>
  <si>
    <t>Сочи, Тепло</t>
  </si>
  <si>
    <t>Сочи, Эвкалипт</t>
  </si>
  <si>
    <t>Сочи, Bergamo Eco hotel</t>
  </si>
  <si>
    <t>Сочи, Mountain spa</t>
  </si>
  <si>
    <t>Сочи, Odyssey flowers spa</t>
  </si>
  <si>
    <t>Сочи, Radisson Paradise resort</t>
  </si>
  <si>
    <t>Сочи, Sky inn</t>
  </si>
  <si>
    <t>Сочи, Snega</t>
  </si>
  <si>
    <t>Сочи, Vertex</t>
  </si>
  <si>
    <t>Сочи, wood house</t>
  </si>
  <si>
    <t>Красноярский край</t>
  </si>
  <si>
    <t>Красноярск, Николаевские</t>
  </si>
  <si>
    <t>Ленинградская обл</t>
  </si>
  <si>
    <t>Ганино</t>
  </si>
  <si>
    <t>Лен. обл, отель Новый Петергоф</t>
  </si>
  <si>
    <t>Лен.обл, Петергофские жр</t>
  </si>
  <si>
    <t>Лен.обл, Стрельнинские</t>
  </si>
  <si>
    <t>Марий Эл</t>
  </si>
  <si>
    <t>Йошкар-Ола, Суворовские, вр</t>
  </si>
  <si>
    <t>Москва</t>
  </si>
  <si>
    <t>Азия спа, Белорусская</t>
  </si>
  <si>
    <t>Азия спа, Киевская</t>
  </si>
  <si>
    <t>Азия спа, Полянка</t>
  </si>
  <si>
    <t>Азия спа, Сити</t>
  </si>
  <si>
    <t>Аквазона Зил</t>
  </si>
  <si>
    <t>Аквапарк Карибиа</t>
  </si>
  <si>
    <t>Аквапарк Мореон</t>
  </si>
  <si>
    <t>Аквапарк Фэнтези Марьино</t>
  </si>
  <si>
    <t>Аквапарк Юна</t>
  </si>
  <si>
    <t>Астраханские</t>
  </si>
  <si>
    <t>Бабушкинские</t>
  </si>
  <si>
    <t>Банная усадьба, Октябрьское поле Шале</t>
  </si>
  <si>
    <t>Банный двор, Лобненская Цыганский табор</t>
  </si>
  <si>
    <t>баня на Фабрике</t>
  </si>
  <si>
    <t>Блядильня Виталита на Таганке</t>
  </si>
  <si>
    <t>Блядильня Кутузов VIP</t>
  </si>
  <si>
    <t>Блядильня Марьино</t>
  </si>
  <si>
    <t>Блядильня Матвеевские бани, малый зал</t>
  </si>
  <si>
    <t>Блядильня Матвеевские бани, средний зал</t>
  </si>
  <si>
    <t>Блядильня Тай Сан спа</t>
  </si>
  <si>
    <t>Блядильня Шоколад</t>
  </si>
  <si>
    <t>Блядильня Bon спа</t>
  </si>
  <si>
    <t>Варшавские, высший</t>
  </si>
  <si>
    <t>Варшавские, женский</t>
  </si>
  <si>
    <t>Варшавские, мужской</t>
  </si>
  <si>
    <t>Варшавские, Охота</t>
  </si>
  <si>
    <t>Варшавские, Шале</t>
  </si>
  <si>
    <t>Вешняковские</t>
  </si>
  <si>
    <t>Воронцовские 1р</t>
  </si>
  <si>
    <t>Воронцовские вр</t>
  </si>
  <si>
    <t>Воронцовские, Индиана номерные</t>
  </si>
  <si>
    <t>Востряковские</t>
  </si>
  <si>
    <t>Вятские</t>
  </si>
  <si>
    <t>Вятские номерные</t>
  </si>
  <si>
    <t>Гремм Gremm на Янгеля</t>
  </si>
  <si>
    <t>Жар-птица</t>
  </si>
  <si>
    <t>Жар-птица, шале 3</t>
  </si>
  <si>
    <t>Измайловские, 2этаж</t>
  </si>
  <si>
    <t>Измайловские, 3этаж</t>
  </si>
  <si>
    <t>Калитниковские 1р</t>
  </si>
  <si>
    <t>Калитниковские вр</t>
  </si>
  <si>
    <t>Капотнинские</t>
  </si>
  <si>
    <t>Кинари спа</t>
  </si>
  <si>
    <t>Княже банный двор</t>
  </si>
  <si>
    <t xml:space="preserve">Коптевские </t>
  </si>
  <si>
    <t>Коптевские, жр</t>
  </si>
  <si>
    <t>Косинские</t>
  </si>
  <si>
    <t>Краснопресненские</t>
  </si>
  <si>
    <t>Кузьминки, Наша баня</t>
  </si>
  <si>
    <t>Кунцевская (мож. ш.), 2этаж</t>
  </si>
  <si>
    <t>Кунцевская (мож. ш.), 3этаж</t>
  </si>
  <si>
    <t>Кунцевская (Молодогв. ул.)</t>
  </si>
  <si>
    <t>Лёгкий пар, 1р</t>
  </si>
  <si>
    <t>Лёгкий пар, вр</t>
  </si>
  <si>
    <t>Лефортовские</t>
  </si>
  <si>
    <t>Лужники Кристалл</t>
  </si>
  <si>
    <t>Лужники, дворец тенниса</t>
  </si>
  <si>
    <t>Лужники, мультиспорт</t>
  </si>
  <si>
    <t>Лужнитнес/аквакомплекс</t>
  </si>
  <si>
    <t>Люблинские</t>
  </si>
  <si>
    <t>Малевича бани</t>
  </si>
  <si>
    <t>Марьинские</t>
  </si>
  <si>
    <t>Московские</t>
  </si>
  <si>
    <t>МФК Сходня</t>
  </si>
  <si>
    <t>Не парься</t>
  </si>
  <si>
    <t>Новопеределкино</t>
  </si>
  <si>
    <t>Огниво</t>
  </si>
  <si>
    <t>Остафьевские</t>
  </si>
  <si>
    <t>Остроумовские</t>
  </si>
  <si>
    <t>Отель Movenpick Таганская</t>
  </si>
  <si>
    <t>Отель Safmar grand Moscow</t>
  </si>
  <si>
    <t>Очаковская кабинетная</t>
  </si>
  <si>
    <t>Очаковские, 1р</t>
  </si>
  <si>
    <t>Очаковские, вр</t>
  </si>
  <si>
    <t>Павелецкие 1р</t>
  </si>
  <si>
    <t>Павелецкие, вр</t>
  </si>
  <si>
    <t>Покровские, 1р</t>
  </si>
  <si>
    <t>Покровские, 2р</t>
  </si>
  <si>
    <t>Потаповские</t>
  </si>
  <si>
    <t>Ржевские</t>
  </si>
  <si>
    <t>Сандуны вр</t>
  </si>
  <si>
    <t>Сандуны, 1р</t>
  </si>
  <si>
    <t>Сандуны, 2вр</t>
  </si>
  <si>
    <t>Сандуны, комфорт+</t>
  </si>
  <si>
    <t>Сауна-сортир Три дельфина</t>
  </si>
  <si>
    <t>Сауна-хуяуна Сити</t>
  </si>
  <si>
    <t>Селезневские, 1р</t>
  </si>
  <si>
    <t>Селезневские, 2р</t>
  </si>
  <si>
    <t>Селезневские, вр</t>
  </si>
  <si>
    <t>Соколиная гора</t>
  </si>
  <si>
    <t>Сыромятнические</t>
  </si>
  <si>
    <t>Тайга пар</t>
  </si>
  <si>
    <t>Термбург</t>
  </si>
  <si>
    <t>Термолэнд Ямское поле</t>
  </si>
  <si>
    <t>Термолэнд, Ботаническая</t>
  </si>
  <si>
    <t>Термолэнд, Бутово</t>
  </si>
  <si>
    <t>Термолэнд, Внуково</t>
  </si>
  <si>
    <t>Термолэнд, Крымская</t>
  </si>
  <si>
    <t>Термолэнд, Путилково</t>
  </si>
  <si>
    <t>Термолэнд, Речной</t>
  </si>
  <si>
    <t>Тинькофф сауна</t>
  </si>
  <si>
    <t xml:space="preserve">Угрешские, СССР </t>
  </si>
  <si>
    <t>Усачевские 1р</t>
  </si>
  <si>
    <t>Усачевские 2вр</t>
  </si>
  <si>
    <t>Усачевские, вр</t>
  </si>
  <si>
    <t>Фитнес-хуитнес</t>
  </si>
  <si>
    <t xml:space="preserve">Фонвизинская </t>
  </si>
  <si>
    <t>Хуитнес Аквастар Павелецкая</t>
  </si>
  <si>
    <t>Хуитнес Атлант бассейн</t>
  </si>
  <si>
    <t>Хуитнес Банифаций</t>
  </si>
  <si>
    <t>Хуитнес Зебра</t>
  </si>
  <si>
    <t>Хуитнес Короля</t>
  </si>
  <si>
    <t>Хуитнес Марфино спорткомплекс</t>
  </si>
  <si>
    <t>Хуитнес ПаделХаб Нагатинская</t>
  </si>
  <si>
    <t>Хуитнес ПариПадел Аэропорт</t>
  </si>
  <si>
    <t>Хуитнес Райф</t>
  </si>
  <si>
    <t>Хуитнес Спортлэнд Кузьминки</t>
  </si>
  <si>
    <t>Хуитнес Чайка</t>
  </si>
  <si>
    <t>Хуитнес DDX  Мозаика</t>
  </si>
  <si>
    <t>Хуитнес DDX Бутово</t>
  </si>
  <si>
    <t>Хуитнес DDX летчика Бабушкина</t>
  </si>
  <si>
    <t>Хуитнес DDX Лефортово</t>
  </si>
  <si>
    <t>Хуитнес DDX Митино</t>
  </si>
  <si>
    <t>Хуитнес DDX Озерная</t>
  </si>
  <si>
    <t>Хуитнес DDX Ортиба Коломенская</t>
  </si>
  <si>
    <t>Хуитнес DDX Ростокино</t>
  </si>
  <si>
    <t>Хуитнес DDX Технопарк</t>
  </si>
  <si>
    <t>Хуитнес DDX Янтарь</t>
  </si>
  <si>
    <t>Хуитнес gfitnes</t>
  </si>
  <si>
    <t>Хуитнес Kometa black Трубная</t>
  </si>
  <si>
    <t>Хуитнес Nef дубровка</t>
  </si>
  <si>
    <t>Хуитнес Ohana</t>
  </si>
  <si>
    <t>Хуитнес Skygym</t>
  </si>
  <si>
    <t>Хуитнес Spiritness Автозаводский</t>
  </si>
  <si>
    <t>Хуитнес Spiritness Беляево</t>
  </si>
  <si>
    <t>Хуитнес Spiritness Марьина роща</t>
  </si>
  <si>
    <t>Хуитнес Spiritness Окская</t>
  </si>
  <si>
    <t>Хуитнес the base  крылатское</t>
  </si>
  <si>
    <t>Хуитнес We gym Митино</t>
  </si>
  <si>
    <t>Хуитнес world class на Ленинском</t>
  </si>
  <si>
    <t>Хуитнес xfit нагатинская</t>
  </si>
  <si>
    <t>Хуитнес-Спиритнес Марьино</t>
  </si>
  <si>
    <t>Хуитнес, Митино inn</t>
  </si>
  <si>
    <t>Хуитнес, Панджшер</t>
  </si>
  <si>
    <t>Хуитнес, притяжение м.Чертановская</t>
  </si>
  <si>
    <t>Хуитнес, Eco Долгопа</t>
  </si>
  <si>
    <t>Хуитнес, Nice fitness, Авентура</t>
  </si>
  <si>
    <t xml:space="preserve">Хуитнес, Spirit fitness Каширское ш.80 </t>
  </si>
  <si>
    <t>Хуитнес, Spirit fitness Технопарк</t>
  </si>
  <si>
    <t>Хуитнес, Spirit fitness ТЦ Рио</t>
  </si>
  <si>
    <t>Хуитнес, Spiritness  Гагаринский</t>
  </si>
  <si>
    <t>Хуитнес, Spiritness  Сити</t>
  </si>
  <si>
    <t>Хуитнес, Spiritness  Ясенево</t>
  </si>
  <si>
    <t>Хуитнес, Spiritness Семеновская</t>
  </si>
  <si>
    <t>Хуитнес, Spiritness Чертановская</t>
  </si>
  <si>
    <t>Хуитнес,DDX планета</t>
  </si>
  <si>
    <t>Хуитнес,Sportstation</t>
  </si>
  <si>
    <t>Хуитнесс, Spiritness Римская</t>
  </si>
  <si>
    <t xml:space="preserve">Царицынские </t>
  </si>
  <si>
    <t>Царицынские, жр</t>
  </si>
  <si>
    <t>Частная, Внуково, 29</t>
  </si>
  <si>
    <t>Московская обл</t>
  </si>
  <si>
    <t>Аквапарк Ква-ква</t>
  </si>
  <si>
    <t>Аничково, Петровские</t>
  </si>
  <si>
    <t>Апрелевская</t>
  </si>
  <si>
    <t>Баенник, Горки10</t>
  </si>
  <si>
    <t>Балашиха, Артиленд Карельская</t>
  </si>
  <si>
    <t>Балашиха, Бабл</t>
  </si>
  <si>
    <t>Балашиха, Саввинские</t>
  </si>
  <si>
    <t>Бочка во Внуково</t>
  </si>
  <si>
    <t>Быковские</t>
  </si>
  <si>
    <t>Василевские</t>
  </si>
  <si>
    <t>Васильевские</t>
  </si>
  <si>
    <t>Видновская усадьба</t>
  </si>
  <si>
    <t>Видновские городские</t>
  </si>
  <si>
    <t>Внуковские</t>
  </si>
  <si>
    <t>Восточные</t>
  </si>
  <si>
    <t>Высоковск, Городская 2.0</t>
  </si>
  <si>
    <t>Дедовские</t>
  </si>
  <si>
    <t>Дмитров, Соколовские</t>
  </si>
  <si>
    <t>Долгопские</t>
  </si>
  <si>
    <t>Долгопские VIP 1 этаж</t>
  </si>
  <si>
    <t>Долгопские, жр</t>
  </si>
  <si>
    <t>Домодедово, Востряковские</t>
  </si>
  <si>
    <t>Душа Красногорска</t>
  </si>
  <si>
    <t>Жучки</t>
  </si>
  <si>
    <t>Заветы Ильича</t>
  </si>
  <si>
    <t>Звенигород парк отель</t>
  </si>
  <si>
    <t>Звенигород, Айдабаня</t>
  </si>
  <si>
    <t>Звенигородская</t>
  </si>
  <si>
    <t>Зеленоградские (ленинградка)</t>
  </si>
  <si>
    <t>Зеленоградские (ярославка)</t>
  </si>
  <si>
    <t>Клязьминские</t>
  </si>
  <si>
    <t>Королев, КГБ</t>
  </si>
  <si>
    <t>Королев, КГБ сауна</t>
  </si>
  <si>
    <t>Королев, на Молодежной</t>
  </si>
  <si>
    <t>Королевские</t>
  </si>
  <si>
    <t>Красноармейск</t>
  </si>
  <si>
    <t>Красногорск, Пегас</t>
  </si>
  <si>
    <t>Лобня, Красноплянская</t>
  </si>
  <si>
    <t>Лобня, Научный городок 11А</t>
  </si>
  <si>
    <t>Лось</t>
  </si>
  <si>
    <t>Луневские</t>
  </si>
  <si>
    <t>Лыткарино, на Лесной</t>
  </si>
  <si>
    <t>Лыткарино, Сафонова 10</t>
  </si>
  <si>
    <t>Лыткарино, Тураевское ш, 3</t>
  </si>
  <si>
    <t>Люберцы, русская на дровах</t>
  </si>
  <si>
    <t>Морозки</t>
  </si>
  <si>
    <t>Мостовик</t>
  </si>
  <si>
    <t>Мытищи, Наутика</t>
  </si>
  <si>
    <t>Мытищинские, номерные</t>
  </si>
  <si>
    <t>Мытищинские, общий</t>
  </si>
  <si>
    <t>Нахабинская</t>
  </si>
  <si>
    <t>Некрасовские</t>
  </si>
  <si>
    <t>Носовихинские</t>
  </si>
  <si>
    <t>Образцовские</t>
  </si>
  <si>
    <t>Одинцово, на Баковке</t>
  </si>
  <si>
    <t>Одинцово, Окулово</t>
  </si>
  <si>
    <t>Одинцовские</t>
  </si>
  <si>
    <t>Опалиха, ВМС</t>
  </si>
  <si>
    <t>Опалиха, Кедровые</t>
  </si>
  <si>
    <t>Отель Воздвиженское</t>
  </si>
  <si>
    <t xml:space="preserve">Отель Солнечный </t>
  </si>
  <si>
    <t>Пересвет, Русские сезоны, бассейны</t>
  </si>
  <si>
    <t>Пересвет, Русские сезоны, Сибирь</t>
  </si>
  <si>
    <t>Перловские</t>
  </si>
  <si>
    <t>Плавучая Солонцово</t>
  </si>
  <si>
    <t>Подольск, бани Алексеева, 1р</t>
  </si>
  <si>
    <t>Подольск, бани Алексеева, вр</t>
  </si>
  <si>
    <t xml:space="preserve">Правда </t>
  </si>
  <si>
    <t>Протвино, городская</t>
  </si>
  <si>
    <t>Пушкино, Берлога</t>
  </si>
  <si>
    <t>Репихово</t>
  </si>
  <si>
    <t>Реутовские, 1 этаж</t>
  </si>
  <si>
    <t>Реутовские, 2 этаж</t>
  </si>
  <si>
    <t>Ржавки</t>
  </si>
  <si>
    <t>Рублевские</t>
  </si>
  <si>
    <t>Рэдиссон Завидово Кристалл спа</t>
  </si>
  <si>
    <t>Северные</t>
  </si>
  <si>
    <t>Сергиев Посад, баня 1</t>
  </si>
  <si>
    <t>Серпухов, Ворошиловские вр</t>
  </si>
  <si>
    <t>Серпухов, Городские жр</t>
  </si>
  <si>
    <t>Серпухов, Городские мр</t>
  </si>
  <si>
    <t>Серпухов, на Ногинке</t>
  </si>
  <si>
    <t>Слободские</t>
  </si>
  <si>
    <t>Софрино</t>
  </si>
  <si>
    <t>Старт бани Аникеевка</t>
  </si>
  <si>
    <t>Ступино, Белопесоцкая</t>
  </si>
  <si>
    <t>Ступинская</t>
  </si>
  <si>
    <t>Сходня, баня 2 Жар птица</t>
  </si>
  <si>
    <t>Таёжные, охотничий сруб</t>
  </si>
  <si>
    <t>Теплеево отель</t>
  </si>
  <si>
    <t>Термоленд, Зеленопарк</t>
  </si>
  <si>
    <t>Термолэнд, Физтех</t>
  </si>
  <si>
    <t>Термы Видное</t>
  </si>
  <si>
    <t>Троицкие</t>
  </si>
  <si>
    <t>Усово, usovosteam</t>
  </si>
  <si>
    <t>Федюково</t>
  </si>
  <si>
    <t>Фирсановка, школьная 2</t>
  </si>
  <si>
    <t>Химки, банный домъ</t>
  </si>
  <si>
    <t>Химки, Николаевская</t>
  </si>
  <si>
    <t xml:space="preserve">Химки, Центральная 10 </t>
  </si>
  <si>
    <t>Хотьково, Олимп</t>
  </si>
  <si>
    <t>Хотьковские</t>
  </si>
  <si>
    <t>Хуитнес DDX Июнь Мытищи</t>
  </si>
  <si>
    <t>Хуитнес DDX Реутов</t>
  </si>
  <si>
    <t>Частная, Ступинская</t>
  </si>
  <si>
    <t>Щёлково, Славянские</t>
  </si>
  <si>
    <t>Электросталь, городская на южном</t>
  </si>
  <si>
    <t>Яхромские</t>
  </si>
  <si>
    <t>Мурманская обл</t>
  </si>
  <si>
    <t>Мурманск, баня 2</t>
  </si>
  <si>
    <t>Мурманск, баня 3</t>
  </si>
  <si>
    <t>Мурманск, баня 4</t>
  </si>
  <si>
    <t>Мурманск, Гларус</t>
  </si>
  <si>
    <t>Мурманская обл, Контьявр</t>
  </si>
  <si>
    <t>Мурманская обл, Оленегорск городская</t>
  </si>
  <si>
    <t>Мурманская обл, Салма на Ловозере</t>
  </si>
  <si>
    <t>Мурмаши</t>
  </si>
  <si>
    <t>Нижегородская обл</t>
  </si>
  <si>
    <t>НиНо, Батумская</t>
  </si>
  <si>
    <t>НиНо, Канавинские</t>
  </si>
  <si>
    <t>НиНо, на Новой</t>
  </si>
  <si>
    <t>НиНо, Пар Горького</t>
  </si>
  <si>
    <t>НиНо, Пар и камни 1р</t>
  </si>
  <si>
    <t>НиНо, Пар и камни вр</t>
  </si>
  <si>
    <t>НиНо, Печеркские</t>
  </si>
  <si>
    <t>НиНо, Саврасовские</t>
  </si>
  <si>
    <t>Новосибирская обл</t>
  </si>
  <si>
    <t>Бердск, на Веге</t>
  </si>
  <si>
    <t>Бердские</t>
  </si>
  <si>
    <t>Краснообск, Берлога</t>
  </si>
  <si>
    <t>Краснообск, Контраст spa</t>
  </si>
  <si>
    <t>НСК, Академические</t>
  </si>
  <si>
    <t>НСК, Антей</t>
  </si>
  <si>
    <t>НСК, Берлога</t>
  </si>
  <si>
    <t>НСК, Кировские</t>
  </si>
  <si>
    <t xml:space="preserve">НСК, Мыловаров </t>
  </si>
  <si>
    <t xml:space="preserve">НСК, Паровозов </t>
  </si>
  <si>
    <t>НСК, Просвет</t>
  </si>
  <si>
    <t>НСК, Сандуны 1р</t>
  </si>
  <si>
    <t>НСК, Сандуны вр</t>
  </si>
  <si>
    <t>НСК, Федоровские</t>
  </si>
  <si>
    <t>НСК, double tree spa</t>
  </si>
  <si>
    <t>Омская обл</t>
  </si>
  <si>
    <t>Омск, Алексейские</t>
  </si>
  <si>
    <t>Омск, Чугун Холл</t>
  </si>
  <si>
    <t>Пермский край</t>
  </si>
  <si>
    <t>Пермь, Династия, Лебедева 23</t>
  </si>
  <si>
    <t>Пермь, Ленина 76</t>
  </si>
  <si>
    <t>Приморский край</t>
  </si>
  <si>
    <t>Владивосток, баня 3</t>
  </si>
  <si>
    <t>Владивосток, баня на Седанке</t>
  </si>
  <si>
    <t>Владивосток, Косатка</t>
  </si>
  <si>
    <t>Владивосток, Три Богатыря</t>
  </si>
  <si>
    <t>Владивосток, ул. Героев Тихоокеанцев</t>
  </si>
  <si>
    <t>Владикавказ, Свежесть</t>
  </si>
  <si>
    <t>Псковская обл</t>
  </si>
  <si>
    <t>Псков, Двор Поздноева</t>
  </si>
  <si>
    <t>Рязанская обл</t>
  </si>
  <si>
    <t>Рязань, баня 1</t>
  </si>
  <si>
    <t xml:space="preserve">Рязань, Окская Жемчужина </t>
  </si>
  <si>
    <t>Самарская обл</t>
  </si>
  <si>
    <t>Жигулевск, у Волги</t>
  </si>
  <si>
    <t>Самара спа</t>
  </si>
  <si>
    <t>Самара, баня 2</t>
  </si>
  <si>
    <t>Самара, баня на воде Волгарь</t>
  </si>
  <si>
    <t>Самара, Волжские термы</t>
  </si>
  <si>
    <t xml:space="preserve">Самара, Деревенька на Воронежской </t>
  </si>
  <si>
    <t>Самара, Деревенька на Неверова</t>
  </si>
  <si>
    <t>Самара, отель Реальянс</t>
  </si>
  <si>
    <t>Самара, Самарские термы</t>
  </si>
  <si>
    <t>Самара, Холидей холл спа</t>
  </si>
  <si>
    <t>Самара, woodhouse</t>
  </si>
  <si>
    <t>Тольятти, Амбарные</t>
  </si>
  <si>
    <t>Тольятти, по-царски</t>
  </si>
  <si>
    <t>Тольятти, Чапаевская</t>
  </si>
  <si>
    <t>Санкт-Петербург</t>
  </si>
  <si>
    <t>Василеостровские</t>
  </si>
  <si>
    <t>Водолей, Люкс разряд</t>
  </si>
  <si>
    <t>Дегтярные</t>
  </si>
  <si>
    <t>Дегтярные номерные</t>
  </si>
  <si>
    <t>Лоцманские 3 этаж</t>
  </si>
  <si>
    <t>Московские люкс</t>
  </si>
  <si>
    <t>Мытнинские, комфорт класс</t>
  </si>
  <si>
    <t>Ольги Форш</t>
  </si>
  <si>
    <t>Петровские</t>
  </si>
  <si>
    <t>Среднеохтинские 1отд</t>
  </si>
  <si>
    <t>Среднеохтинские 2отд</t>
  </si>
  <si>
    <t>Усачевские Купеческий</t>
  </si>
  <si>
    <t>Усачевские разночинный</t>
  </si>
  <si>
    <t>Фонарные Исторический</t>
  </si>
  <si>
    <t>Фонарные Народный</t>
  </si>
  <si>
    <t>Ямские люкс</t>
  </si>
  <si>
    <t>Ямские общий</t>
  </si>
  <si>
    <t>Саратовская обл</t>
  </si>
  <si>
    <t>Саратов , хуитнес world class бц навигатор</t>
  </si>
  <si>
    <t>Саратов, баня 11</t>
  </si>
  <si>
    <t>Саратов, баня 2</t>
  </si>
  <si>
    <t>Саратов, баня 4</t>
  </si>
  <si>
    <t>Саратов, баня 7</t>
  </si>
  <si>
    <t>Саратов, Мировые</t>
  </si>
  <si>
    <t>Саратов, Филин термы</t>
  </si>
  <si>
    <t>Саратов, хуитнес Челси на Соколовой</t>
  </si>
  <si>
    <t>Саратов, хуитнес DDX на Столыпина</t>
  </si>
  <si>
    <t>Саратов, Центральная</t>
  </si>
  <si>
    <t>Энгельс, академия фк сауна</t>
  </si>
  <si>
    <t>Энгельс, на Маяковской сауна</t>
  </si>
  <si>
    <t>Энгельс, Приволжский, весёлая 10</t>
  </si>
  <si>
    <t>Энгельс, турбаза Роджер</t>
  </si>
  <si>
    <t>Энгельс, хуитнес Импульс на Тельмана</t>
  </si>
  <si>
    <t>Энгельс, хуитнес Максюта юниое</t>
  </si>
  <si>
    <t>Энгельс, хуитнес Gymbro на Расковой</t>
  </si>
  <si>
    <t>Энгельс, хуитнес world class</t>
  </si>
  <si>
    <t>Энгельс, частная Данюса</t>
  </si>
  <si>
    <t>Сахалинская обл</t>
  </si>
  <si>
    <t>Южно-Сахалинск, баня 37</t>
  </si>
  <si>
    <t>Южно-Сахалинск, баня 6</t>
  </si>
  <si>
    <t>Южно-Сахалинск, Городская</t>
  </si>
  <si>
    <t>Южно-Сахалинск, Нэпманские</t>
  </si>
  <si>
    <t>Свердловская обл</t>
  </si>
  <si>
    <t>Исток, "У завода"</t>
  </si>
  <si>
    <t>Свердловская обл.</t>
  </si>
  <si>
    <t>Екатеринбург, Андреевские</t>
  </si>
  <si>
    <t>Екатеринбург, баня 11</t>
  </si>
  <si>
    <t>Екатеринбург, Бодрость на Проезжей</t>
  </si>
  <si>
    <t>Екатеринбург, Жемчужина на Майкопской</t>
  </si>
  <si>
    <t>Екатеринбург, Кимовская 2</t>
  </si>
  <si>
    <t>Екатеринбург, Космос</t>
  </si>
  <si>
    <t>Екатеринбург, Первомайские</t>
  </si>
  <si>
    <t>Екатеринбург, Сандуны 1р</t>
  </si>
  <si>
    <t>Екатеринбург, Сандуны вр</t>
  </si>
  <si>
    <t>Екатеринбург, Сандуны Демидовский</t>
  </si>
  <si>
    <t>Екатеринбург, Сибиряк</t>
  </si>
  <si>
    <t>Екатеринбург, Стахановские</t>
  </si>
  <si>
    <t>Екатеринбург, Уральские</t>
  </si>
  <si>
    <t>Екатеринбург, sky сауна</t>
  </si>
  <si>
    <t>Северная Осетия</t>
  </si>
  <si>
    <t>Северная Осетия, 1950</t>
  </si>
  <si>
    <t>Северная Осетия, Chillawi</t>
  </si>
  <si>
    <t>Северная Осетия, Forrest terrace hotel</t>
  </si>
  <si>
    <t>Смоленская обл</t>
  </si>
  <si>
    <t>Смоленск, баня 1</t>
  </si>
  <si>
    <t>Ставропольский край</t>
  </si>
  <si>
    <t xml:space="preserve">Ессентуки, Атлантида </t>
  </si>
  <si>
    <t>Ессентуки, баня 2</t>
  </si>
  <si>
    <t>Пятигорск, Итальянские термы</t>
  </si>
  <si>
    <t>Пятигорск, Миррос Montis medispa hotel</t>
  </si>
  <si>
    <t>Татарстан</t>
  </si>
  <si>
    <t>Казань, баня 7 высший</t>
  </si>
  <si>
    <t>Казань, баня 7 первый</t>
  </si>
  <si>
    <t>Казань, Деревенька</t>
  </si>
  <si>
    <t>Казань, Казанский банный комплекс</t>
  </si>
  <si>
    <t>Казань, Распарье</t>
  </si>
  <si>
    <t>Казань, Тургаевские</t>
  </si>
  <si>
    <t>НЧ, баня 2</t>
  </si>
  <si>
    <t>НЧ, баня 3</t>
  </si>
  <si>
    <t>Тверская обл</t>
  </si>
  <si>
    <t>Вышний Волочек, баня 1</t>
  </si>
  <si>
    <t>Вышний Волочек, на Цне</t>
  </si>
  <si>
    <t>Конаково, Скрылёвские</t>
  </si>
  <si>
    <t>Редкино, тверская обл</t>
  </si>
  <si>
    <t>Тверь, баня 1</t>
  </si>
  <si>
    <t>Тверь, баня 2</t>
  </si>
  <si>
    <t>Тверь, баня 3</t>
  </si>
  <si>
    <t>Тверь, баня 4 ( на Пятнашке)</t>
  </si>
  <si>
    <t>Тверь, баня 5 народная</t>
  </si>
  <si>
    <t>Тверь, баня 6</t>
  </si>
  <si>
    <t>Тверь, Бурашево</t>
  </si>
  <si>
    <t>Тверь, на Третьяковке</t>
  </si>
  <si>
    <t>Тверь, на университетском</t>
  </si>
  <si>
    <t>Тверь, Рождественские горки,Большая купеческая</t>
  </si>
  <si>
    <t>Тверь, Твоя банька</t>
  </si>
  <si>
    <t>Тверь, Термы</t>
  </si>
  <si>
    <t>Торжокская</t>
  </si>
  <si>
    <t>Тверской обл</t>
  </si>
  <si>
    <t>Удомля, городская</t>
  </si>
  <si>
    <t>Томская обл</t>
  </si>
  <si>
    <t>Томск, баня 12</t>
  </si>
  <si>
    <t>Томск, баня 13(Томские)</t>
  </si>
  <si>
    <t>Томск, баня 2</t>
  </si>
  <si>
    <t>Томск, баня 3</t>
  </si>
  <si>
    <t>Томск, баня 6</t>
  </si>
  <si>
    <t>Тульская обл</t>
  </si>
  <si>
    <t>Алексин, на Поленова</t>
  </si>
  <si>
    <t>Алексин, на Северной</t>
  </si>
  <si>
    <t>Дубна городская</t>
  </si>
  <si>
    <t>Новомосковск</t>
  </si>
  <si>
    <t>Новомосковск Семейные традиции</t>
  </si>
  <si>
    <t>Новомосковск, на Садовой</t>
  </si>
  <si>
    <t>Обидимо</t>
  </si>
  <si>
    <t>Первомайский</t>
  </si>
  <si>
    <t>Тула, Баня 4</t>
  </si>
  <si>
    <t>Тула, Криволученские</t>
  </si>
  <si>
    <t>Тула, Тульские</t>
  </si>
  <si>
    <t>Тульская обл.</t>
  </si>
  <si>
    <t>Частная, Комаревские</t>
  </si>
  <si>
    <t>Частная,Котенево</t>
  </si>
  <si>
    <t>Тюменская обл</t>
  </si>
  <si>
    <t>Тобольск, Турист</t>
  </si>
  <si>
    <t>Тюмень, баня 3</t>
  </si>
  <si>
    <t>Тюмень, Городские парильни, мужской</t>
  </si>
  <si>
    <t>Тюмень, Ермолаевъ</t>
  </si>
  <si>
    <t>Тюмень, Тарманский дом</t>
  </si>
  <si>
    <t>Удмуртия</t>
  </si>
  <si>
    <t>Ижевск, Баня 7</t>
  </si>
  <si>
    <t>Ижевск, Пятница</t>
  </si>
  <si>
    <t>Хабаровский край</t>
  </si>
  <si>
    <t>Хабаровск, Горьковские</t>
  </si>
  <si>
    <t>Хабаровск, Краснофлотские</t>
  </si>
  <si>
    <t>Хабаровск, Ленинградские</t>
  </si>
  <si>
    <t>Хабаровск, Шимановские</t>
  </si>
  <si>
    <t>Хельсинки, Löylykontti Sörnäinen</t>
  </si>
  <si>
    <t>Хакасия</t>
  </si>
  <si>
    <t>Абакан, горы, банька в снегу))</t>
  </si>
  <si>
    <t>Абакан, Центральная баня</t>
  </si>
  <si>
    <t>Приисковое</t>
  </si>
  <si>
    <t>Ханты-Мансийский АО</t>
  </si>
  <si>
    <t>Сургут, баня на Бульваре, 3 этаж</t>
  </si>
  <si>
    <t>Сургут, Городские парильни, Мужской</t>
  </si>
  <si>
    <t>Челябинская обл</t>
  </si>
  <si>
    <t>Челяба, баня 4</t>
  </si>
  <si>
    <t>Челяба, Карагай</t>
  </si>
  <si>
    <t>Челяба, Тортуга</t>
  </si>
  <si>
    <t>Челяба, Уральские</t>
  </si>
  <si>
    <t>Чувашия</t>
  </si>
  <si>
    <t>Чебоксары, Баня 1</t>
  </si>
  <si>
    <t>Чебоксары, баня 3</t>
  </si>
  <si>
    <t>Чебоксары, баня 7</t>
  </si>
  <si>
    <t>Чебоксары, Баня 8</t>
  </si>
  <si>
    <t>Ямало-ненецкий АО</t>
  </si>
  <si>
    <t>Лабытнанги, городская</t>
  </si>
  <si>
    <t>Новый Уренгой, Городская баня</t>
  </si>
  <si>
    <t>Новый Уренгой, Петровские</t>
  </si>
  <si>
    <t>Салехард, баня 3</t>
  </si>
  <si>
    <t>Салехард, баня-гараж</t>
  </si>
  <si>
    <t>Ярославская обл</t>
  </si>
  <si>
    <t>Мышкин, Городская</t>
  </si>
  <si>
    <t>Мышкин, МышкИнн спа</t>
  </si>
  <si>
    <t>Рыбинск, баня 1</t>
  </si>
  <si>
    <t>Рыбинск, баня 3</t>
  </si>
  <si>
    <t>Ярик, баня 5 малое отделение</t>
  </si>
  <si>
    <t>Ярик, баня 8</t>
  </si>
  <si>
    <t xml:space="preserve">Ярик, Ирония судьбы </t>
  </si>
  <si>
    <t>Ярик, Поповские</t>
  </si>
  <si>
    <t>Ярик, Тверицкие 1р</t>
  </si>
  <si>
    <t>Ярик, Тверицкие 2р</t>
  </si>
  <si>
    <t>Банная слобода</t>
  </si>
  <si>
    <t>Каменская</t>
  </si>
  <si>
    <t>Корабль Омега</t>
  </si>
  <si>
    <t xml:space="preserve">Лесной </t>
  </si>
  <si>
    <t>Ново-никольская</t>
  </si>
  <si>
    <t>Отель Лепота</t>
  </si>
  <si>
    <t>Отель Grand Wellness</t>
  </si>
  <si>
    <t>Папертники</t>
  </si>
  <si>
    <t>Плавучая Нептун</t>
  </si>
  <si>
    <t>Плавучая, Арт баня</t>
  </si>
  <si>
    <t>Протарас</t>
  </si>
  <si>
    <t xml:space="preserve">ПСБ Патриот </t>
  </si>
  <si>
    <t>Тропикана парк, баня 4</t>
  </si>
  <si>
    <t>Частная, Аракуль</t>
  </si>
  <si>
    <t>Частная, Ашитково</t>
  </si>
  <si>
    <t>Частная, Большое Гришкино</t>
  </si>
  <si>
    <t>Частная, Боровинка тверская обл</t>
  </si>
  <si>
    <t>Частная, Дача Дора</t>
  </si>
  <si>
    <t>Частная, Деревня у Сереги</t>
  </si>
  <si>
    <t>Частная, Драчевские-1</t>
  </si>
  <si>
    <t>Частная, Заозерный 1</t>
  </si>
  <si>
    <t>Частная, Заозерный 2</t>
  </si>
  <si>
    <t>Частная, Зеленоградск веселая 13</t>
  </si>
  <si>
    <t>Частная, Зюраткуль, тубраза Небесное озеро</t>
  </si>
  <si>
    <t>Частная, Ибреси</t>
  </si>
  <si>
    <t>Частная, Ижевск у Егора</t>
  </si>
  <si>
    <t>Частная, Ключи, у Ефимыча</t>
  </si>
  <si>
    <t>Частная, Козыревск</t>
  </si>
  <si>
    <t>Частная, Козыревск сейсмостанция</t>
  </si>
  <si>
    <t>Частная, Колатсельская</t>
  </si>
  <si>
    <t xml:space="preserve">Частная, Новосельцевская </t>
  </si>
  <si>
    <t>Частная, Папертники</t>
  </si>
  <si>
    <t>Частная, Пермь</t>
  </si>
  <si>
    <t>Частная, поворот на пос. Зеленый</t>
  </si>
  <si>
    <t>Частная, Рассказовка у Миши</t>
  </si>
  <si>
    <t>Частная, Рубцовск, у Стаса</t>
  </si>
  <si>
    <t>Частная, Рязань, Агро-пустынь</t>
  </si>
  <si>
    <t>Частная, Синьялы</t>
  </si>
  <si>
    <t>Частная, СНТ Ландыш</t>
  </si>
  <si>
    <t>Частная, СНТ мультфильм</t>
  </si>
  <si>
    <t xml:space="preserve">Частная, Степаново коттедж </t>
  </si>
  <si>
    <t>Частная, Терскол, rest time</t>
  </si>
  <si>
    <t>Частная, Тещина  банька</t>
  </si>
  <si>
    <t>Частная, Тинь-тинь</t>
  </si>
  <si>
    <t>Частная, Троицкие-вишневские</t>
  </si>
  <si>
    <t>Частная, Тюлюк, Тайга</t>
  </si>
  <si>
    <t>Частная, у Короля Раменский район</t>
  </si>
  <si>
    <t>Частная, у Кузьмича доогопа</t>
  </si>
  <si>
    <t>Частная, у Пингвина</t>
  </si>
  <si>
    <t>Частная, фазенда Колесниченко</t>
  </si>
  <si>
    <t>Частная, Френдшипфил</t>
  </si>
  <si>
    <t>Частная, Химки</t>
  </si>
  <si>
    <t>Частная, Чубаево</t>
  </si>
  <si>
    <t>Частная, Чувашская</t>
  </si>
  <si>
    <t>Частная, Энгельс Рублевка</t>
  </si>
  <si>
    <t>Частная, Энгельс ул. Победы</t>
  </si>
  <si>
    <t>Частная, Энгельс, у Гагарина</t>
  </si>
  <si>
    <t>Саудовская Аравия</t>
  </si>
  <si>
    <t>Эр-Рияд,  Soul spa</t>
  </si>
  <si>
    <t>Сербия</t>
  </si>
  <si>
    <t>Белград</t>
  </si>
  <si>
    <t>Белград, Atera business suite</t>
  </si>
  <si>
    <t>США</t>
  </si>
  <si>
    <t>Даллас</t>
  </si>
  <si>
    <t>Даллас, Russian banya</t>
  </si>
  <si>
    <t>Калифорния</t>
  </si>
  <si>
    <t>Irvine, корейские бани</t>
  </si>
  <si>
    <t>Колорадо</t>
  </si>
  <si>
    <t>Keystone</t>
  </si>
  <si>
    <t>США, Сан-Диего, лагуна Лейжа</t>
  </si>
  <si>
    <t>США, Carlsbad</t>
  </si>
  <si>
    <t>США, Soulspace Petite spa</t>
  </si>
  <si>
    <t>Техас, King spa</t>
  </si>
  <si>
    <t>Чикаго, Bath house</t>
  </si>
  <si>
    <t>Чикаго, Sweatlodge</t>
  </si>
  <si>
    <t>NY, Asphalt</t>
  </si>
  <si>
    <t>NY, king spa</t>
  </si>
  <si>
    <t>NY, spa88</t>
  </si>
  <si>
    <t>NY, worldspa</t>
  </si>
  <si>
    <t>Таиланд</t>
  </si>
  <si>
    <t>Бангкок</t>
  </si>
  <si>
    <t>Бангкок,  Bangkok onsen</t>
  </si>
  <si>
    <t>Бангкок, Carnation sauna</t>
  </si>
  <si>
    <t>Бангкок, Meko onsen</t>
  </si>
  <si>
    <t>Бангкок, Onsen factory</t>
  </si>
  <si>
    <t>Бангкок, Yunomori onsen</t>
  </si>
  <si>
    <t>Паттайя</t>
  </si>
  <si>
    <t>Паттайя, Relax onsen spa</t>
  </si>
  <si>
    <t>Паттайя, Yunomori onsen</t>
  </si>
  <si>
    <t>Пхукет</t>
  </si>
  <si>
    <t>Пхукет, Кедр</t>
  </si>
  <si>
    <t xml:space="preserve">Пхукет, Allthai </t>
  </si>
  <si>
    <t>Пхукет, Bun Reng Nanai</t>
  </si>
  <si>
    <t xml:space="preserve">Пхукет, Lemonade </t>
  </si>
  <si>
    <t>Пхукет, Vivi</t>
  </si>
  <si>
    <t>Таиланд, Nozawa Onsen, Chiang Mai</t>
  </si>
  <si>
    <t>Турция</t>
  </si>
  <si>
    <t>Измир</t>
  </si>
  <si>
    <t>Измир, hypnos spa hamam</t>
  </si>
  <si>
    <t>Стамбул</t>
  </si>
  <si>
    <t>Стамбул  Cesme</t>
  </si>
  <si>
    <t>Стамбул,  Golden Horne</t>
  </si>
  <si>
    <t>Стамбул, Acemoglu</t>
  </si>
  <si>
    <t>Стамбул, Cagaloglu</t>
  </si>
  <si>
    <t>Стамбул, Cemberlitas</t>
  </si>
  <si>
    <t>Стамбул, Cilic Ali Pasha</t>
  </si>
  <si>
    <t>Стамбул, Cukurcuma</t>
  </si>
  <si>
    <t>Стамбул, Endless art hotel</t>
  </si>
  <si>
    <t>Стамбул, Erkekler hamam 365</t>
  </si>
  <si>
    <t>Стамбул, Firuz aga</t>
  </si>
  <si>
    <t>Стамбул, Galata hotel mgallery</t>
  </si>
  <si>
    <t>Стамбул, Gleam collection hotel</t>
  </si>
  <si>
    <t>Стамбул, Holiday Inn Istanbul old city by IHG</t>
  </si>
  <si>
    <t>Стамбул, Miracle spa hotel</t>
  </si>
  <si>
    <t>Стамбул, Westist</t>
  </si>
  <si>
    <t>Турция, Селектор</t>
  </si>
  <si>
    <t>Турция, aura spa</t>
  </si>
  <si>
    <t>Турция, Barut b suites</t>
  </si>
  <si>
    <t>Турция, crystal de lux</t>
  </si>
  <si>
    <t>Турция, crystal prestige</t>
  </si>
  <si>
    <t>Турция, Kamelya</t>
  </si>
  <si>
    <t>Турция, LA spa hamam</t>
  </si>
  <si>
    <t>Турция, Rize, elite hamam</t>
  </si>
  <si>
    <t>Турция, Selin</t>
  </si>
  <si>
    <t>Узбекистан</t>
  </si>
  <si>
    <t>Ташкент, дрова</t>
  </si>
  <si>
    <t>Ташкент, Тельмана</t>
  </si>
  <si>
    <t>Финляндия</t>
  </si>
  <si>
    <t>Хельсинки, Uusi sauna</t>
  </si>
  <si>
    <t>Франция</t>
  </si>
  <si>
    <t>Франция, Colmar, Lesquise hotel spa</t>
  </si>
  <si>
    <t>Хорватия</t>
  </si>
  <si>
    <t>Хорватия, Дубровник, Excelsior hotel</t>
  </si>
  <si>
    <t>Хорватия, Дубровник, Sheraton Riviera hotel</t>
  </si>
  <si>
    <t>Чехия</t>
  </si>
  <si>
    <t>Прага</t>
  </si>
  <si>
    <t>Прага, beer spa</t>
  </si>
  <si>
    <t>Чили</t>
  </si>
  <si>
    <t>Чили, ОстровПасхи Nayara</t>
  </si>
  <si>
    <t>Чили, Rio Serrano hotel</t>
  </si>
  <si>
    <t>Швейцария</t>
  </si>
  <si>
    <t>Швейцария, Грюйерские</t>
  </si>
  <si>
    <t>Швейцария, Льеж спа</t>
  </si>
  <si>
    <t>Швейцария, Цюрих, Hallenbad</t>
  </si>
  <si>
    <t>Швейцария, Chur Evertlagen</t>
  </si>
  <si>
    <t>Швейцария, Engelberg</t>
  </si>
  <si>
    <t>Швейцария, swisspeak</t>
  </si>
  <si>
    <t>Швеция</t>
  </si>
  <si>
    <t>Лайнер Хельсинки-Стокгольм</t>
  </si>
  <si>
    <t>Швеция, домик</t>
  </si>
  <si>
    <t>Эстония</t>
  </si>
  <si>
    <t>Таллин, у Сани частная</t>
  </si>
  <si>
    <t>Таллин, Kalma</t>
  </si>
  <si>
    <t>Таллин, Leilisaun</t>
  </si>
  <si>
    <t>Усть-Нарва, Городская</t>
  </si>
  <si>
    <t>Япония</t>
  </si>
  <si>
    <t>Йокогама</t>
  </si>
  <si>
    <t>Ofuronokuni fantasy sauna and spa</t>
  </si>
  <si>
    <t>Raku spa</t>
  </si>
  <si>
    <t>Нагано</t>
  </si>
  <si>
    <t>Lamp guest house sauna</t>
  </si>
  <si>
    <t>Tangram Madarao Hot spring</t>
  </si>
  <si>
    <t>Токио</t>
  </si>
  <si>
    <t>Ofuro no Osama Oimachi</t>
  </si>
  <si>
    <t>Totopa</t>
  </si>
  <si>
    <t>Kanagava</t>
  </si>
  <si>
    <t>Saunahouse</t>
  </si>
  <si>
    <t>ak spa 510 group</t>
  </si>
  <si>
    <t>Amami port tower</t>
  </si>
  <si>
    <t>Atari-yu</t>
  </si>
  <si>
    <t>Bad Saarow</t>
  </si>
  <si>
    <t>Baden place</t>
  </si>
  <si>
    <t>Battery park city</t>
  </si>
  <si>
    <t>Besta</t>
  </si>
  <si>
    <t>Boseok</t>
  </si>
  <si>
    <t>Cheongsan</t>
  </si>
  <si>
    <t>Chitose Hot Spring</t>
  </si>
  <si>
    <t>Chofu Benten</t>
  </si>
  <si>
    <t>Club Harvey</t>
  </si>
  <si>
    <t>Cocofuro</t>
  </si>
  <si>
    <t>Collegium Leoninum</t>
  </si>
  <si>
    <t>Cryo fit</t>
  </si>
  <si>
    <t>Daini Tenguyu</t>
  </si>
  <si>
    <t>Diago Sagami</t>
  </si>
  <si>
    <t>Dojo sauna</t>
  </si>
  <si>
    <t>Dongmakgol</t>
  </si>
  <si>
    <t>Edoyu ryogoku</t>
  </si>
  <si>
    <t>Fujimi</t>
  </si>
  <si>
    <t>Fujimiyu</t>
  </si>
  <si>
    <t>Fujisan Garden hotel</t>
  </si>
  <si>
    <t>Fukushima</t>
  </si>
  <si>
    <t>Futaba</t>
  </si>
  <si>
    <t>Garden Sauna Kamata</t>
  </si>
  <si>
    <t>Hachiman</t>
  </si>
  <si>
    <t>Hakone Fore</t>
  </si>
  <si>
    <t>Hasunuma</t>
  </si>
  <si>
    <t>Heiwaijima</t>
  </si>
  <si>
    <t>HUI</t>
  </si>
  <si>
    <t>Imaiyu</t>
  </si>
  <si>
    <t>Iwatake</t>
  </si>
  <si>
    <t>Izumi Tenku</t>
  </si>
  <si>
    <t>Juro onsen</t>
  </si>
  <si>
    <t>Kabe onsen umo</t>
  </si>
  <si>
    <t>Kairyu</t>
  </si>
  <si>
    <t>Kamaburo</t>
  </si>
  <si>
    <t>Kamata</t>
  </si>
  <si>
    <t>Kamata sauna</t>
  </si>
  <si>
    <t>Kaminoyu</t>
  </si>
  <si>
    <t>Kavasaki</t>
  </si>
  <si>
    <t>Kinshicho spa</t>
  </si>
  <si>
    <t>Komatsuyu</t>
  </si>
  <si>
    <t>Komeisen</t>
  </si>
  <si>
    <t>Konpara-yu</t>
  </si>
  <si>
    <t>Koshinoyu</t>
  </si>
  <si>
    <t>Kotobukiyu</t>
  </si>
  <si>
    <t>Kugaharayu</t>
  </si>
  <si>
    <t>Kurinoyu</t>
  </si>
  <si>
    <t>Kusatsuyu</t>
  </si>
  <si>
    <t>Ladle</t>
  </si>
  <si>
    <t>Lufthansa Seeheim</t>
  </si>
  <si>
    <t>Madarao</t>
  </si>
  <si>
    <t>Matsu no Yu</t>
  </si>
  <si>
    <t>Midori</t>
  </si>
  <si>
    <t>Minatoya</t>
  </si>
  <si>
    <t>Miyagi</t>
  </si>
  <si>
    <t>Miyakoyu</t>
  </si>
  <si>
    <t>Miyakoyu2</t>
  </si>
  <si>
    <t>Mizonokuchi</t>
  </si>
  <si>
    <t>Mokgan Tong</t>
  </si>
  <si>
    <t>Musashi kuyama</t>
  </si>
  <si>
    <t>Nagomi</t>
  </si>
  <si>
    <t>Nagomi no yu</t>
  </si>
  <si>
    <t>Nakajimuyu</t>
  </si>
  <si>
    <t>Nakanobu</t>
  </si>
  <si>
    <t>Nikkowanashiro</t>
  </si>
  <si>
    <t>Nishiki-yu</t>
  </si>
  <si>
    <t>Omachi onsen</t>
  </si>
  <si>
    <t>Omori-yu</t>
  </si>
  <si>
    <t>Paradise</t>
  </si>
  <si>
    <t>Peace-yu</t>
  </si>
  <si>
    <t>Pedras do Mar resort</t>
  </si>
  <si>
    <t>Pokapoka</t>
  </si>
  <si>
    <t>Polanki</t>
  </si>
  <si>
    <t>Prolabo</t>
  </si>
  <si>
    <t>Rakutenchi spa</t>
  </si>
  <si>
    <t>Rhein-Main-Therme</t>
  </si>
  <si>
    <t>Rooftop sauna</t>
  </si>
  <si>
    <t>Ryusenjino</t>
  </si>
  <si>
    <t>Sachino</t>
  </si>
  <si>
    <t>Sagamiyo</t>
  </si>
  <si>
    <t>Sakurakan</t>
  </si>
  <si>
    <t>Sancty</t>
  </si>
  <si>
    <t>Sauna Center Shin Okubo</t>
  </si>
  <si>
    <t>Sauna deco</t>
  </si>
  <si>
    <t>Sauna Hokua</t>
  </si>
  <si>
    <t>Sauna Tokyo</t>
  </si>
  <si>
    <t>Sauna XX</t>
  </si>
  <si>
    <t>Seaside spa</t>
  </si>
  <si>
    <t>Seungwon</t>
  </si>
  <si>
    <t>Sharako no yu</t>
  </si>
  <si>
    <t>Shibuya saunas</t>
  </si>
  <si>
    <t>Shinagawa sauna</t>
  </si>
  <si>
    <t>Shinnomigawa</t>
  </si>
  <si>
    <t>Shinsey-yu</t>
  </si>
  <si>
    <t>Sky Spa Yokohama</t>
  </si>
  <si>
    <t>Sola spa</t>
  </si>
  <si>
    <t>Solaniwa onsen</t>
  </si>
  <si>
    <t>Spublic Akasaka</t>
  </si>
  <si>
    <t>Suehiro Токио</t>
  </si>
  <si>
    <t>Suehiro Kawasaki</t>
  </si>
  <si>
    <t>Sweden, Hagabadet</t>
  </si>
  <si>
    <t>Syakinohoyu</t>
  </si>
  <si>
    <t>Tachibanayu</t>
  </si>
  <si>
    <t>Takanoyu</t>
  </si>
  <si>
    <t>Tenginyu</t>
  </si>
  <si>
    <t>Tera-no-yu</t>
  </si>
  <si>
    <t>Thermae-Yu</t>
  </si>
  <si>
    <t>Therme Wien</t>
  </si>
  <si>
    <t>Togosginza</t>
  </si>
  <si>
    <t>Tokyo Yokujo</t>
  </si>
  <si>
    <t>Transcend health spa</t>
  </si>
  <si>
    <t>Villa Fontaine Haneda</t>
  </si>
  <si>
    <t>Weisensee Living hotel</t>
  </si>
  <si>
    <t>Yakushi no yu</t>
  </si>
  <si>
    <t>You city kamata</t>
  </si>
  <si>
    <t>Yukemori</t>
  </si>
  <si>
    <t>Yuliy Adahiyu</t>
  </si>
  <si>
    <t>ПОЛОЖЕНИЕ О ЧЕТВЕРТОМ ЧЕМПИОНАТЕ ЕБЛ
1. Чемпионат ЕБЛ — ежегодное соревнование, проводящееся Евразийской банной лигой (ЕБЛ) с целью популяризации общественных бань.
2. В чемпионате принимают участие все участники группы ОУД. В чемпионате не могут принимать участие другие участники. Если участник вступает в группу ОУД в середине года, очки в зачет чемпионата ЕБЛ начинают ему начисляться с дня, следующего за днем вступления в группу. Если участник покидает группу ОУД, очки в зачет чемпионата ЕБЛ перестают ему начисляться с этого момента.
3. Под баней понимается специализированное для термических процедур, нагретое выше 50 °C помещение, в котором участник пребывает в раздетом виде. К баням относятся как общественные (городские) бани, так и индивидуальные банные помещения, включая ночные сауны, фитнесы и аквапарки с саунами, домашние сауны и переносные (разборные) бани.
4. В отдельную подкатегорию выделяются общественные бани, которые в целях настоящего регламента определяются как бани с выделенными мужскими часами/мужским днем в своем расписании или отдельными мужскими разрядами. В случае неопределенности решение об отнесении бани к общественной принимает комиссия.
5. Очки в чемпионате ЕБЛ начисляются за поход в баню. Очки за данный поход начисляются игроку при выполнении следующих условий: 1) поход в баню длился не менее 1 часа, 2) это был первый поход в данную баню за данные сутки, 3) поход документирован постом любого из участников чемпионата в телеграм-группу в тот же день.
6. Подсчет очков проводится еженедельно. Баня попадает в неделю, если участник зашел в нее не позднее 22:59 МСК воскресенья и прислал в этот же день информацию в группу. В случае, если информация о походе в баню прислана позже указанного срока, она попадает в следующую неделю.
7. По каждому игроку каждую неделю подсчитывается количество посещенных бань. Участники ранжируются по убыванию в зависимости от общего количества посещенных бань за неделю. Участнику, занявшему первое место, начисляется 15 очков, второе место — 12 очков, третье место — 10 очков, четвертое место — 8 очков, пятое место — 6 очков, шестое место — 4 очка, седьмое место – 2 очка, 8 место – 1 очко. Участникам, занявшим девятое и последующее места, начисляется 0 очков. В случае, если участники поделили места, им начисляется среднее арифметическое от количества баллов за эти места с округлением до десятых. Например, если 4 участника заняли 7—10 места, им начисляются по (2 + 1 + 0 + 0)/4 = 0,8 очков. Участники, не посетившие ни одной бани, получают 0 очков. 
8. В случае, если ни один из участников за неделю не посетил ни одной из бань, неделя исключается из розыгрыша.
9. Очки также начисляются за факт посещения бани. За каждое посещение бани участнику начисляется 1 очко. Очки получают в т. ч. те участники, которые получили 0 очков в розыгрыше общего количества бань.
10. За каждое посещение общественной бани начисляется одно дополнительное очко.
11. В случае, если баня посещена группой, в которую входит от 3 до 5 участников ЕБЛ, каждому участнику за такое посещение дополнительно начисляется по 1 очку (категория К). Если в группе от 6 до 8 человек, каждому её участнику начисляется по 2 очка (категория КК), 9 человек и выше — по 3 очка (категория ККК). Посещение считается групповым, если участники были в бане в пределах календарных суток по московскому времени.
12. Дополнительно подсчитывается количество посещенных каждым участником уникальных бань. Уникальными считаются бани, размещенные в разных зданиях, а также бани, размещенные в одном здании, но считающиеся разными разрядами (каждый разряд снабжен отдельным входом по отдельному билету). Банные помещения одного аквапарка/фитнеса/отеля, разные срубы одной необщественной бани считаются одной баней (одним разрядом). За каждую уникальную (в пределах 2026 года) посещенную баню участник получает еще 1 очко (т. е. суммарно за посещение такой бани в первый раз участник получает 2 очка).
13. Также очки начисляются за посещение ультрауникальных бань — тех, в которых ни один из участников ЕБЛ ранее не был в 2023—2026 гг. За ультрауникальную баню каждый из участников, посетивших ее группой впервые (в пределах одного дня) в ЕБЛ, получает еще одно очко. За такое посещение бани участник суммарно получит 3 очка (не считая коллективных, региональных, общественных начислений).
14. Кроме того, очки начисляются за посещение бань в каждом регионе каждой страны. Под регионом понимается административно-территориальная единица первого уровня. Для РФ это субъект федерации, для Белоруссии, Казахстана, Армении – область, для Австрии и Германии – земля, для Грузии и Латвии – край, для Испании и Италии – историческая область, для Кипра – район, для Нидерландов, Таиланда, Турции – провинция, для ОАЭ – эмират, для США – штат, для Франции – регион, для Швейцарии – кантон, для Эстонии – уезд, для Японии – префектура. За каждый новый для себя регион в 2026 году участник получает +1 очко, за каждую новую страну – еще +1 очко.
15. Участник получает +1 очко в случае, если документально подтверждает свое пребывание в бане длительностью более 150 минут. Документальными свидетельствами являются фотографии участника, банного интерьера и экстерьера, снабженные выполненными вручную или автоматически (с помощью средств социальной сети) отметками о времени входа и выхода. Бани без двойной отметки воспринимаются как посещенные на 1 час, за них начисляется только 1 очко. При групповом посещении бани каждый участник должен самостоятельно озаботиться документированием своего посещения.
16. Очки каждого участника за все недели в течение года складываются.
17. Победителем чемпионата объявляется участник, набравший максимальное количество очков в течение года. В случае равенства этого показателя победитель выявляется по дополнительному показателю — количеству посещенных в течение года бань.
18. Чемпионат длится с 1 января 2026 года по 31 декабря 2026 года. Недели 1-4 января и 28-31 декабря дает баллы за места наравне с остальными неделями.
19. Все спорные ситуации разбираются Комиссией ЕБЛ. Секретарем Комиссии является Виктор Кудрявцев.
20. Турнирную таблицу ведет секретарь Комиссии ЕБЛ.
21. Чемпионат ЕБЛ является отборочным для Кубка ЕБЛ. Участники, занявшие 16 первых мест на дату начала Кубка (будет определена в регламенте Кубка), проходят в Кубок. Wild-card на Кубок получают чемпионы ЕБЛ прошлых лет: Филипп Лысенко, Дмитрий Радомский и Денис Мамонтов. Wild-card на Кубок получают победители Кубков прошлых лет: Ахмед Саидалиев, Дмитрий Радомский и команда Евгения Иванова и Дениса Киреева. Отдельный wild-card на одно место имеет также Комиссия. Если участник проходит в Кубок и без использования wild-card, то его wild-card в данном кубке не используется.</t>
  </si>
  <si>
    <t>кол-во</t>
  </si>
  <si>
    <t>Уник</t>
  </si>
  <si>
    <t>УУник</t>
  </si>
  <si>
    <t>Дол</t>
  </si>
  <si>
    <t>комп</t>
  </si>
  <si>
    <t>W53</t>
  </si>
  <si>
    <t>W52</t>
  </si>
  <si>
    <t>W51</t>
  </si>
  <si>
    <t>W50</t>
  </si>
  <si>
    <t>W49</t>
  </si>
  <si>
    <t>W48</t>
  </si>
  <si>
    <t>W47</t>
  </si>
  <si>
    <t>W46</t>
  </si>
  <si>
    <t>W45</t>
  </si>
  <si>
    <t>W44</t>
  </si>
  <si>
    <t>W43</t>
  </si>
  <si>
    <t>W42</t>
  </si>
  <si>
    <t>W41</t>
  </si>
  <si>
    <t>W40</t>
  </si>
  <si>
    <t>W39</t>
  </si>
  <si>
    <t>W38</t>
  </si>
  <si>
    <t>W37</t>
  </si>
  <si>
    <t>W36</t>
  </si>
  <si>
    <t>W35</t>
  </si>
  <si>
    <t>W34</t>
  </si>
  <si>
    <t>W33</t>
  </si>
  <si>
    <t>W32</t>
  </si>
  <si>
    <t>W31</t>
  </si>
  <si>
    <t>W30</t>
  </si>
  <si>
    <t>W29</t>
  </si>
  <si>
    <t>W28</t>
  </si>
  <si>
    <t>W27</t>
  </si>
  <si>
    <t>W26</t>
  </si>
  <si>
    <t>W25</t>
  </si>
  <si>
    <t>W24</t>
  </si>
  <si>
    <t>W23</t>
  </si>
  <si>
    <t>W22</t>
  </si>
  <si>
    <t>W21</t>
  </si>
  <si>
    <t>W20</t>
  </si>
  <si>
    <t>W19</t>
  </si>
  <si>
    <t>W18</t>
  </si>
  <si>
    <t>W17</t>
  </si>
  <si>
    <t>W16</t>
  </si>
  <si>
    <t>W15</t>
  </si>
  <si>
    <t>W14</t>
  </si>
  <si>
    <t>W13</t>
  </si>
  <si>
    <t>W12</t>
  </si>
  <si>
    <t>W11</t>
  </si>
  <si>
    <t>W10</t>
  </si>
  <si>
    <t>Виталик</t>
  </si>
  <si>
    <t>Абу-Даби, Риксос Марина</t>
  </si>
  <si>
    <t>Абу-Даби, vogo hotel</t>
  </si>
  <si>
    <t>Австрия,  weberstube</t>
  </si>
  <si>
    <t>Австрия, 1р аква дом</t>
  </si>
  <si>
    <t>Австрия, 2р аква дом</t>
  </si>
  <si>
    <t>Австрия, Таурен Спа</t>
  </si>
  <si>
    <t>Австрия, Römertherme Baden</t>
  </si>
  <si>
    <t>Вена, Паппенхайм2</t>
  </si>
  <si>
    <t>Вена, Dublinger</t>
  </si>
  <si>
    <t>Вена, Jorgerbad</t>
  </si>
  <si>
    <t>Дубай, Bonnington</t>
  </si>
  <si>
    <t>Дубай, grand hyatt spa</t>
  </si>
  <si>
    <t>Дубай, Movenpick</t>
  </si>
  <si>
    <t>Калмыкия, Степняк</t>
  </si>
  <si>
    <t>Карелия, Vottovaara mountain race</t>
  </si>
  <si>
    <t>ОАЭ, Novotel jvt</t>
  </si>
  <si>
    <t>СПБ, Василеостровские</t>
  </si>
  <si>
    <t>СПБ, Дегтярные</t>
  </si>
  <si>
    <t>СПБ, Дегтярные номерные</t>
  </si>
  <si>
    <t>СПБ, Лоцманские 3 этаж</t>
  </si>
  <si>
    <t>СПБ, Московские люкс</t>
  </si>
  <si>
    <t>СПБ, Мытнинские, комфорт класс</t>
  </si>
  <si>
    <t>СПБ, Ольги Форш</t>
  </si>
  <si>
    <t>СПБ, Петровские</t>
  </si>
  <si>
    <t>СПБ, Усачевские Купеческий</t>
  </si>
  <si>
    <t>СПБ, Усачевские разночинный</t>
  </si>
  <si>
    <t>СПБ, Фонарные Исторический</t>
  </si>
  <si>
    <t>СПБ, Фонарные Народный</t>
  </si>
  <si>
    <t>СПБ, Ямские люкс</t>
  </si>
  <si>
    <t>СПБ, Ямские общий</t>
  </si>
  <si>
    <t>Тульская обл, Дубна городская</t>
  </si>
  <si>
    <t>Тульская обл, Первомайский</t>
  </si>
  <si>
    <t>Тульская обл., Новомосковск</t>
  </si>
  <si>
    <t>Тульская обл., Новомосковск Семейные традиции</t>
  </si>
  <si>
    <t>Тульская обл., Новомосковск, на Садовой</t>
  </si>
  <si>
    <t>Тульская обл., Обидимо</t>
  </si>
  <si>
    <t>Хуитнес-Спиритнес</t>
  </si>
  <si>
    <t>Частная, Волковские-Тарусские</t>
  </si>
  <si>
    <t>Частная, Энгельс</t>
  </si>
  <si>
    <t>Ofuro Osano</t>
  </si>
  <si>
    <t>Tangram Madarao</t>
  </si>
  <si>
    <t>Раунд 1</t>
  </si>
  <si>
    <t>Раунд 2 чемпионы</t>
  </si>
  <si>
    <t>Раунд 3 чемпионы</t>
  </si>
  <si>
    <t>Раунд 4  Финал</t>
  </si>
  <si>
    <t>напарники  сохраняются</t>
  </si>
  <si>
    <t>Витёк+Ахмед 2+2</t>
  </si>
  <si>
    <t>Леха+Alex B 14+11</t>
  </si>
  <si>
    <t>Леха+Alex B 14+6</t>
  </si>
  <si>
    <t>Ден+Король 9+5</t>
  </si>
  <si>
    <t>Шурик+Махмуд  4+2</t>
  </si>
  <si>
    <t>Ден+Король 9+6</t>
  </si>
  <si>
    <t>Леха+Alex B 18+1</t>
  </si>
  <si>
    <t>Фил+Данюс 7+21</t>
  </si>
  <si>
    <t>Фил+Данюс 21+9</t>
  </si>
  <si>
    <t>Хвост+Денис 16+18</t>
  </si>
  <si>
    <t>Диман+Даня  11+2</t>
  </si>
  <si>
    <t>Арс+Женек 2+6</t>
  </si>
  <si>
    <t>Диман+Даня 3+1</t>
  </si>
  <si>
    <t>Фил+Данюс 7+0</t>
  </si>
  <si>
    <t>Фил+Данюс 44+16</t>
  </si>
  <si>
    <t>Хвост+Денис 30+29</t>
  </si>
  <si>
    <t>Раунд 2 ебланы</t>
  </si>
  <si>
    <t>Раунд 3 ебланы</t>
  </si>
  <si>
    <t>слепая жеребьёвка ебланов</t>
  </si>
  <si>
    <t>слепая жеребьёвка новых ебланов</t>
  </si>
  <si>
    <t>Ахмед+Витек 0+2</t>
  </si>
  <si>
    <t>Хвост+Денис  36+22</t>
  </si>
  <si>
    <t>Хвост+Денис 7+2</t>
  </si>
  <si>
    <t>Шурик+Махмуд 18+7</t>
  </si>
  <si>
    <t>Даня+Король 102+0</t>
  </si>
  <si>
    <t>Женек+Арс 4+2</t>
  </si>
  <si>
    <t>Ден+Диман 21+26</t>
  </si>
  <si>
    <t>Шурик+Махмуд 20+1</t>
  </si>
  <si>
    <t>Илюха</t>
  </si>
  <si>
    <t>Саша П</t>
  </si>
  <si>
    <t>Криш</t>
  </si>
  <si>
    <t>ПОЛОЖЕНИЕ О ТРЕТЬЕМ ЧЕМПИОНАТЕ ЕБЛ 1. Чемпионат ЕБЛ — ежегодное соревнование, проводящееся Евразийской банной лигой (ЕБЛ) с целью популяризации бань, саун и apres-ban'.
2. В чемпионате принимают участие все участники группы ОУД. В чемпионате не могут принимать участие другие участники. Если участник вступает в группу ОУД в середине года, очки в зачет чемпионата ЕБЛ начинают ему начисляться с этого момента. Если участник покидает группу ОУД, очки в зачет чемпионата ЕБЛ перестают ему начисляться с этого момента.
3. Под баней понимается специализированное для термических процедур, нагретое выше 50 °C помещение, в котором участник пребывает в раздетом виде. К баням относятся как общественные (городские) бани, так и индивидуальные банные помещения, включая ночные сауны, фитнесы и аквапарки с саунами, домашние сауны и переносные (разборные) бани.
4. Очки в чемпионате ЕБЛ начисляются за поход в баню. Очки за данный поход начисляются игроку при выполнении следующих условий: 1) поход в баню длился не менее 1 часа, 2) это был первый поход в данную баню за данные сутки, 3) поход документирован постом любого из участников чемпионата в телеграм-группу в тот же день.
5. Подсчет очков проводится еженедельно. Баня попадает в неделю, если участник зашел в нее не позднее 22:59 МСК воскресенья и прислал в этот же день информацию в группу. В случае, если информация о походе в баню прислана позже указанного срока, она попадает в следующую неделю.
6. По каждому игроку каждую неделю подсчитывается количество посещенных бань. Участники ранжируются по убыванию в зависимости от общего количества посещенных бань за неделю. Участнику, занявшему первое место, начисляется 10 очков, второе место — 7 очков, третье место — 5 очков, четвертое место — 3 очка, пятое место — 2 очка, шестое место — 1 очко. Участникам, занявшим седьмое и последующее места, начисляется 0 очков. В случае, если участники поделили места, им начисляется среднее арифметическое от количества баллов за эти места с округлением до десятых. Например, если 4 участника заняли 5—8 места, им начисляются по (2 + 1 + 0 + 0)/4 = 0,8 очков. Участники, не посетившие ни одной бани, получают 0 очков.
7. В случае, если ни один из участников за неделю не посетил ни одной из бань, неделя исключается из розыгрыша.
8. Кроме того, очки начисляются за факт посещения бани. За каждое посещение бани участнику начисляется 1 очко. Очки получают в т. ч. те участники, которые получили 0 очков в розыгрыше общего количества бань.
9. В случае, если баня посещена группой, в которую входит от 3 до 5 участников ЕБЛ, каждому участнику за такое посещение дополнительно начисляется по 1 очку (категория К). Если в группе от 6 до 8 человек, каждому её участнику начисляется по 2 очка (категория КК), 9 человек и выше — по 3 очка. Посещение считается групповым, если участники были в бане в пределах календарных суток по московскому времени.
10. Дополнительно подсчитывается количество посещенных каждым участником уникальных бань. Уникальными считаются бани, размещенные в разных зданиях, а также бани, размещенные в одном здании, но считающиеся разными разрядами (каждый разряд снабжен отдельным входом по отдельному билету). Банные помещения одного аквапарка/фитнеса считаются одной баней (одним разрядом). За каждую уникальную (в пределах 2025 года) посещенную баню участник получает еще 1 очко (т. е. суммарно за посещение такой бани в первый раз участник получает 2 очка).
11. Также очки начисляются за посещение ультрауникальных бань — тех, в которых ни один из участников ЕБЛ ранее не был в 2023—2025 гг. За ультрауникальную баню каждый из участников, посетивших ее группой впервые (в пределах одного дня) в ЕБЛ, получает еще одно очко. За такое посещение бани участник суммарно получит 3 очка (не считая коллективных начислений).
12. Участник получает +1 очко в случае, если документально подтверждает свое пребывание в бане длительностью более 150 минут. Документальными свидетельствами являются фотографии участника, банного интерьера и экстерьера, снабженные выполненными вручную или автоматически (с помощью средств социальной сети) отметками о времени входа и выхода. Бани без двойной отметки воспринимаются как посещенные на 1 час, за них начисляется только 1 очко. При групповом посещении бани каждый участник должен самостоятельно озаботиться документированием своего посещения.
13. Очки каждого участника за все недели в течение года складываются.
14. Победителем чемпионата объявляется участник, набравший максимальное количество очков в течение года. В случае равенства этого показателя победитель выявляется по дополнительному показателю — количеству посещенных в течение года бань.
15. Чемпионат длится с 1 января 2025 года по 31 декабря 2025 года. Недели 1-5 января и 29-31 декабря дает баллы за места наравне с остальными неделями.
16. Все спорные ситуации разбираются на комиссии чемпионата ЕБЛ, проводящейся периодически в Василёвских банях. О дате проведения очередной комиссии участники чемпионата ЕБЛ извещаются по телеграм-каналу ОУД.
17. Турнирную таблицу ведет участник, уполномоченный комиссией чемпионата ЕБЛ.</t>
  </si>
  <si>
    <t xml:space="preserve"> W9</t>
  </si>
  <si>
    <t xml:space="preserve"> W8</t>
  </si>
  <si>
    <t xml:space="preserve"> W7</t>
  </si>
  <si>
    <t xml:space="preserve"> W6</t>
  </si>
  <si>
    <t xml:space="preserve"> W5</t>
  </si>
  <si>
    <t>Тип</t>
  </si>
  <si>
    <t>Витёк</t>
  </si>
  <si>
    <t>Хуитнес/аквапарк/спа</t>
  </si>
  <si>
    <t>Частная</t>
  </si>
  <si>
    <t>Банный двор, Лобненская</t>
  </si>
  <si>
    <t>Блядильня Матвеевские бани</t>
  </si>
  <si>
    <t>Ебург, Андреевские</t>
  </si>
  <si>
    <t>Ебург, баня 11</t>
  </si>
  <si>
    <t>Ëбург, Кимовская 2</t>
  </si>
  <si>
    <t>Ебург, Космос</t>
  </si>
  <si>
    <t>Ебург, Первомайские</t>
  </si>
  <si>
    <t>Ебург, Сандуны 1р</t>
  </si>
  <si>
    <t>Ебург, Сандуны вр</t>
  </si>
  <si>
    <t>Ёбург, Сибиряк</t>
  </si>
  <si>
    <t>Ëбург, Уральские</t>
  </si>
  <si>
    <t>Ебург, sky сауна</t>
  </si>
  <si>
    <t>Кëнин, Лëд</t>
  </si>
  <si>
    <t>Кëниг, на Суворова</t>
  </si>
  <si>
    <t>Киров, Центраная сауна</t>
  </si>
  <si>
    <t>Лëгкий пар, вр</t>
  </si>
  <si>
    <t>Лужнитнес</t>
  </si>
  <si>
    <t>Плавучая</t>
  </si>
  <si>
    <t>Подольск, Алексеевские</t>
  </si>
  <si>
    <t>Самара, термы</t>
  </si>
  <si>
    <t>Сергиев Посад</t>
  </si>
  <si>
    <t>Серпухов, Городские</t>
  </si>
  <si>
    <t>Химки, банный двор</t>
  </si>
  <si>
    <t>Частная Рубцовск, у Стаса</t>
  </si>
  <si>
    <t xml:space="preserve">Частная Степаново коттедж </t>
  </si>
  <si>
    <t>Частная Ступинская</t>
  </si>
  <si>
    <t>510 group ak spa</t>
  </si>
  <si>
    <t>Edoyu</t>
  </si>
  <si>
    <t>1/8 финала</t>
  </si>
  <si>
    <t>Посев 1/4</t>
  </si>
  <si>
    <t>1/4 финала</t>
  </si>
  <si>
    <t>1/2 финала</t>
  </si>
  <si>
    <t>Финал</t>
  </si>
  <si>
    <t>Диман 7 (3у, 4)</t>
  </si>
  <si>
    <t>Шурик 13 (4у, 5)</t>
  </si>
  <si>
    <t xml:space="preserve">Шурик 28 (9у, 9) </t>
  </si>
  <si>
    <t xml:space="preserve">Хвост 10 (3у, 3) </t>
  </si>
  <si>
    <t>Диман 20</t>
  </si>
  <si>
    <t>Король 2</t>
  </si>
  <si>
    <t>Леха 13 (3у, 6)</t>
  </si>
  <si>
    <t>Арс 2</t>
  </si>
  <si>
    <t xml:space="preserve">Леха 8 (2у, 2) </t>
  </si>
  <si>
    <t>Хвост 16</t>
  </si>
  <si>
    <t>Хвост 8</t>
  </si>
  <si>
    <t xml:space="preserve">Леха 18 (6у, 6) </t>
  </si>
  <si>
    <t xml:space="preserve">Шурик 22 (7у, 7) </t>
  </si>
  <si>
    <t>Alex B 3</t>
  </si>
  <si>
    <t>Ден 7 (1у, 4)</t>
  </si>
  <si>
    <t xml:space="preserve">Махмуд 9 (3у, 3) </t>
  </si>
  <si>
    <t xml:space="preserve">Диман 22 (7у, 8) </t>
  </si>
  <si>
    <t>Женёк В 5 (2у, 2)</t>
  </si>
  <si>
    <t>Махмуд 5 (1у, 2)</t>
  </si>
  <si>
    <t xml:space="preserve">Хвост 37 (11у, 13) </t>
  </si>
  <si>
    <t>Арс 5 (1у, 2)</t>
  </si>
  <si>
    <t xml:space="preserve">Женёк В 35 (12у, 12) </t>
  </si>
  <si>
    <t>Леха 13 (4у, 6)</t>
  </si>
  <si>
    <t xml:space="preserve">Диман 28 (8у, 9) </t>
  </si>
  <si>
    <t>Денис 11</t>
  </si>
  <si>
    <t xml:space="preserve">Ден 18 (7у, 10) </t>
  </si>
  <si>
    <t>Фил 1</t>
  </si>
  <si>
    <t>Даня 3</t>
  </si>
  <si>
    <t>Витёк  2</t>
  </si>
  <si>
    <t>Ахмед 4</t>
  </si>
  <si>
    <t xml:space="preserve">ПОЛОЖЕНИЕ О ВТОРОМ ЧЕМПИОНАТЕ ЕБЛ
1. Чемпионат ЕБЛ — ежегодное соревнование, проводящееся Евразийской банной лигой (ЕБЛ) с целью популяризации бань, саун и apres-ban'.
2. В чемпионате принимают участие все участники группы ОУД. В чемпионате не могут принимать участие другие участники. Если участник вступает в группу ОУД в середине года, очки в зачет чемпионата ЕБЛ начинают ему начисляться с этого момента. Если участник покидает группу ОУД, очки в зачет чемпионата ЕБЛ перестают ему начисляться с этого момента.
3. Под баней понимается специализированное для термических процедур, нагретое выше 50 °C помещение, в котором участник пребывает в раздетом виде. К баням относятся как общественные (городские) бани, так и индивидуальные банные помещения, включая ночные сауны, фитнесы и аквапарки с саунами, домашние сауны и переносные (разборные) бани.
4. Очки в чемпионате ЕБЛ начисляются за поход в баню. Очки за данный поход начисляются игроку при выполнении следующих условий: 1) поход в баню длился не менее 1 часа, 2) это был первый поход в данную баню за данные сутки, 3) поход документирован постом любого из участников чемпионата в телеграм-группу в тот же день.
5. Подсчет очков проводится еженедельно. Баня попадает в неделю, если участник зашел в нее не позднее 23:59 МСК воскресенья и прислал в этот же день информацию в группу.
6. По каждому игроку каждую неделю подсчитывается количество посещенных бань. Участники ранжируются по убыванию в зависимости от общего количества посещенных бань за неделю. Участнику, занявшему первое место, начисляется 10 очков, второе место — 7 очков, третье место — 5 очков, четвертое место — 3 очка, пятое место — 2 очка, шестое место — 1 очко. Участникам, занявшим седьмое и последующее места, начисляется 0 очков. В случае, если участники поделили места, им начисляется среднее арифметическое от количества баллов за эти места с округлением до десятых. Например, если 4 участника заняли 5—8 места, им начисляются по (2 + 1 + 0 + 0)/4 = 0,8 очков. Участники, не посетившие ни одной бани, получают 0 очков. 
7. В случае, если ни один из участников за неделю не посетил ни одной из бань, неделя исключается из розыгрыша.
8. Кроме того, очки начисляются за факт посещения бани. За каждое посещение бани участнику начисляется 1 очко. Очки получают в т. ч. те участники, которые получили 0 очков в розыгрыше общего количества бань.
9. В случае, если баня посещена группой, в которую входит 3 и более участников ЕБЛ, каждому участнику за такое посещение дополнительно начисляется по 1 очку.
10. Дополнительно подсчитывается количество посещенных каждым участником уникальных бань. Уникальными считаются бани, размещенные в разных зданиях, а также бани, размещенные в одном здании, но считающиеся разными разрядами (каждый разряд снабжен отдельным входом по отдельному билету). За каждую уникальную (в пределах 2024 года) посещенную баню участник получает еще 1 очко (т. е. суммарно за посещение такой бани в первый раз участник получает 2 очка).
11. Также очки начисляются за посещение ультрауникальных бань — тех, в которых ни один из участников ЕБЛ ранее не был в 2023—2024 гг. За ультрауникальную баню каждый из участников, посетивших ее группой впервые (в пределах одного дня) в ЕБЛ, получает еще одно очко. За такое посещение бани участник суммарно получит 3 очка.
12. Очки каждого участника за все недели в течение года складываются.
13. Победителем чемпионата объявляется участник, набравший максимальное количество очков в течение года. В случае равенства этого показателя победитель выявляется по дополнительному показателю — количеству посещенных в течение года бань.
14. Чемпионат длится с 1 января 2024 года по 31 декабря 2024 года. Неделя 30-31 декабря баллов за места не дает, очки за нее добавляются только по посещениям бань.
15. Все спорные ситуации разбираются на комиссии чемпионата ЕБЛ, проводящейся периодически в Василёвских банях. О дате проведения очередной комиссии участники чемпионата ЕБЛ извещаются по телеграм-каналу ОУД.
16. Турнирную таблицу ведет участник, уполномоченный комиссией чемпионата ЕБЛ
17. Награждение и простава победителей осуществляется на комиссии чемпионата ЕБЛ.
18. Распределение участников по местам с 24 на 25 ноября </t>
  </si>
  <si>
    <t>Участник</t>
  </si>
  <si>
    <t>за уникальные</t>
  </si>
  <si>
    <t>Женёк  В</t>
  </si>
  <si>
    <t xml:space="preserve"> W35</t>
  </si>
  <si>
    <t xml:space="preserve"> W34</t>
  </si>
  <si>
    <t xml:space="preserve"> W33</t>
  </si>
  <si>
    <t xml:space="preserve"> W32</t>
  </si>
  <si>
    <t xml:space="preserve"> W31</t>
  </si>
  <si>
    <t xml:space="preserve"> W30</t>
  </si>
  <si>
    <t xml:space="preserve"> W29</t>
  </si>
  <si>
    <t xml:space="preserve"> W28</t>
  </si>
  <si>
    <t xml:space="preserve"> W27</t>
  </si>
  <si>
    <t xml:space="preserve"> W26</t>
  </si>
  <si>
    <t xml:space="preserve">Симба </t>
  </si>
  <si>
    <t>Название</t>
  </si>
  <si>
    <t>Жан</t>
  </si>
  <si>
    <t>Амстер, Kuuma</t>
  </si>
  <si>
    <t>Варшавские</t>
  </si>
  <si>
    <t>Казань, баня 7</t>
  </si>
  <si>
    <t>Кёниг, баня 1</t>
  </si>
  <si>
    <t>Киров Луговая</t>
  </si>
  <si>
    <t>Перловские, 1р</t>
  </si>
  <si>
    <t>СПБ, Московские</t>
  </si>
  <si>
    <t>СПБ, Фонарные</t>
  </si>
  <si>
    <t>Ташкент , дрова</t>
  </si>
  <si>
    <t>Тверь, баня 4</t>
  </si>
  <si>
    <t>Тверь, баня 5</t>
  </si>
  <si>
    <t>Тверь, Рождественские горки</t>
  </si>
  <si>
    <t>Suehiro</t>
  </si>
  <si>
    <t>ПОЛОЖЕНИЕ О ЧЕМПИОНАТЕ ЕБЛ  1. Чемпионат ЕБЛ — ежегодное соревнование, проводящееся Евразийской банной лигой (ЕБЛ) с целью популяризации бань, саун и apres-ban'. 2. В чемпионате принимают участие все участники группы ОУД. В чемпионате не могут принимать участие другие участники. Если участник вступает в группу ОУД в середине года, очки в зачет чемпионата ЕБЛ начинают ему начисляться с этого момента. Если участник покидает группу ОУД, очки в зачет чемпионата ЕБЛ перестают ему начисляться с этого момента. 3. Под баней понимается специализированное для термических процедур, нагретое выше 50 °C помещение, в котором участник пребывает в раздетом виде. Бани включают как общественные бани, так и частные (индивидуальные) банные помещения, включая домашние сауны и переносные (разборные) бани. 4. Очки в чемпионате ЕБЛ начисляются за поход в баню. Очки за данный поход начисляются игроку при выполнении следующих условий: 1) поход в баню длился не менее 1 часа, 2) это был первый поход в данную баню за данные сутки, 3) поход документирован постом любого из участников чемпионата в телеграм-группу не позднее дня, следующего за посещением. 5. Подсчет очков проводится еженедельно.  6. По каждому игроку каждую неделю подсчитывается количество посещенных бань. 7. Участники ранжируются по убыванию в зависимости от общего количества посещенных бань за неделю. Участнику, занявшему первое место, начисляется 10 очков, второе место — 7 очков, третье место —5 очков, четвертое место — 3 очка, пятое место — 2 очка, шестое место — 1 очко. Участникам, занявшим седьмое и последующее места, начисляется 0 очков. В случае, если участники поделили места, им начисляется среднее арифметическое от количества баллов за эти места с округлением до десятых. Например, если 4 участника заняли 5—8 места, им начисляются по (2 + 1 + 0 + 0)/4 = 0,8 очков. Участники, не посетившие ни одной бани, получают 0 очков.  8. В случае, если ни один из участников за неделю не посетил ни одной из бань, неделя исключается из розыгрыша. 9. Дополнительно подсчитывается количество посещенных каждым участником уникальных бань. Уникальными считаются бани, размещенные в разных зданиях, а также бани, размещенные в одном здании, но официально считающиеся разными разрядами. За каждую уникальную (в пределах года) посещенную баню участник получает 2 очка. Очки получают в т. ч. те участники, которые получили 0 очков в розыгрыше общего количества бань. 10. Очки каждого участника за все недели в течение года складываются. 11. Победителем чемпионата объявляется участник, набравший максимальное количество очков в течение года. В случае равенства этого показателя победитель выявляется по дополнительному показателю — количеству уникальных бань в течение года. 12. Все спорные ситуации разбираются на комиссии чемпионата ЕБЛ, проводящейся периодически в Василёвских банях. О дате проведения очередной комиссии участники чемпионата ЕБЛ извещаются по телеграм-каналу. 13. Турнирную таблицу ведет участник, уполномоченный комиссией чемпионата ЕБЛ. 14. Награждение и простава победителей осуществляется на комиссии чемпионата ЕБЛ. 15. Решением комиссии в декабре может быть проведён финал чемпионата. Все очки, полученные за финал, удваиваются.</t>
  </si>
  <si>
    <t>финал</t>
  </si>
  <si>
    <t>Ден 6</t>
  </si>
  <si>
    <t>Ден 20</t>
  </si>
  <si>
    <t>Даня 5</t>
  </si>
  <si>
    <t>Даня 23</t>
  </si>
  <si>
    <t>Толмач 4</t>
  </si>
  <si>
    <t>Даня 13</t>
  </si>
  <si>
    <t>Витёк 7</t>
  </si>
  <si>
    <t>Диман 19</t>
  </si>
  <si>
    <t>Серёга 7</t>
  </si>
  <si>
    <t>Витёк 1</t>
  </si>
  <si>
    <t>Диман 10</t>
  </si>
  <si>
    <t>Диман 6</t>
  </si>
  <si>
    <t>Диман 35</t>
  </si>
  <si>
    <t>Леха 8</t>
  </si>
  <si>
    <t>Ахмед 35</t>
  </si>
  <si>
    <t>Лёха 14</t>
  </si>
  <si>
    <t>Даня 4</t>
  </si>
  <si>
    <t>Женёк  В  3</t>
  </si>
  <si>
    <t>Женёк В  28</t>
  </si>
  <si>
    <t>Женёк В  2</t>
  </si>
  <si>
    <t>Женёк В 4</t>
  </si>
  <si>
    <t>Фил 36</t>
  </si>
  <si>
    <t>Ахмед 17</t>
  </si>
  <si>
    <t>Ахмед  42</t>
  </si>
  <si>
    <t>Ахмед 11</t>
  </si>
  <si>
    <t>Махмуд 9</t>
  </si>
  <si>
    <t>Махмуд  6</t>
  </si>
  <si>
    <t>Alex B  7</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</si>
</sst>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
  </numFmts>
  <fonts count="20">
    <font>
      <sz val="10.0"/>
      <color rgb="FF000000"/>
      <name val="Arial"/>
      <scheme val="minor"/>
    </font>
    <font>
      <color theme="1"/>
      <name val="Arial"/>
      <scheme val="minor"/>
    </font>
    <font>
      <b/>
      <color theme="1"/>
      <name val="Arial"/>
      <scheme val="minor"/>
    </font>
    <font>
      <b/>
      <sz val="10.0"/>
      <color rgb="FF1F1F1F"/>
      <name val="Arial"/>
      <scheme val="minor"/>
    </font>
    <font>
      <color theme="1"/>
      <name val="Arial"/>
    </font>
    <font>
      <sz val="10.0"/>
      <color rgb="FF1F1F1F"/>
      <name val="Arial"/>
      <scheme val="minor"/>
    </font>
    <font>
      <sz val="11.0"/>
      <color theme="1"/>
      <name val="Arial"/>
      <scheme val="minor"/>
    </font>
    <font>
      <sz val="12.0"/>
      <color rgb="FF000000"/>
      <name val="Roboto"/>
    </font>
    <font>
      <sz val="9.0"/>
      <color rgb="FF1F1F1F"/>
      <name val="&quot;Google Sans&quot;"/>
    </font>
    <font>
      <sz val="10.0"/>
      <color rgb="FF00FFFF"/>
      <name val="Arial"/>
      <scheme val="minor"/>
    </font>
    <font>
      <color rgb="FF00FFFF"/>
      <name val="Arial"/>
      <scheme val="minor"/>
    </font>
    <font>
      <b/>
      <color rgb="FF00FFFF"/>
      <name val="Arial"/>
      <scheme val="minor"/>
    </font>
    <font>
      <b/>
      <sz val="11.0"/>
      <color rgb="FF000000"/>
      <name val="Calibri"/>
    </font>
    <font>
      <sz val="11.0"/>
      <color rgb="FF000000"/>
      <name val="Calibri"/>
    </font>
    <font>
      <sz val="11.0"/>
      <color theme="1"/>
      <name val="Calibri"/>
    </font>
    <font>
      <sz val="12.0"/>
      <color rgb="FF000000"/>
      <name val="Arial"/>
    </font>
    <font>
      <sz val="9.0"/>
      <color rgb="FF1F1F1F"/>
      <name val="Arial"/>
      <scheme val="minor"/>
    </font>
    <font>
      <b/>
      <color rgb="FFFF00FF"/>
      <name val="Arial"/>
      <scheme val="minor"/>
    </font>
    <font>
      <color rgb="FFFF00FF"/>
      <name val="Arial"/>
      <scheme val="minor"/>
    </font>
    <font>
      <sz val="10.0"/>
      <color rgb="FFFF00FF"/>
      <name val="Arial"/>
      <scheme val="minor"/>
    </font>
  </fonts>
  <fills count="4">
    <fill>
      <patternFill patternType="none"/>
    </fill>
    <fill>
      <patternFill patternType="lightGray"/>
    </fill>
    <fill>
      <patternFill patternType="solid">
        <fgColor rgb="FFFFFFFF"/>
        <bgColor rgb="FFFFFFFF"/>
      </patternFill>
    </fill>
    <fill>
      <patternFill patternType="solid">
        <fgColor rgb="FFEFEFEF"/>
        <bgColor rgb="FFEFEFEF"/>
      </patternFill>
    </fill>
  </fills>
  <borders count="10">
    <border/>
    <border>
      <bottom style="thin">
        <color rgb="FF000000"/>
      </bottom>
    </border>
    <border>
      <right style="thin">
        <color rgb="FF000000"/>
      </right>
      <top style="thin">
        <color rgb="FF000000"/>
      </top>
    </border>
    <border>
      <right style="thin">
        <color rgb="FF000000"/>
      </right>
    </border>
    <border>
      <top style="thin">
        <color rgb="FF000000"/>
      </top>
    </border>
    <border>
      <right style="thin">
        <color rgb="FF000000"/>
      </right>
      <bottom style="thin">
        <color rgb="FF000000"/>
      </bottom>
    </border>
    <border>
      <right style="thin">
        <color rgb="FF000000"/>
      </right>
      <top style="thin">
        <color rgb="FF000000"/>
      </top>
      <bottom style="thin">
        <color rgb="FF000000"/>
      </bottom>
    </border>
    <border>
      <left style="thin">
        <color rgb="FF000000"/>
      </left>
    </border>
    <border>
      <left style="thin">
        <color rgb="FF000000"/>
      </left>
      <bottom style="thin">
        <color rgb="FF000000"/>
      </bottom>
    </border>
    <border>
      <left style="thin">
        <color rgb="FF000000"/>
      </left>
      <top style="thin">
        <color rgb="FF000000"/>
      </top>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xf borderId="0" fillId="0" fontId="1" numFmtId="164" xfId="0" applyFont="1" applyNumberFormat="1"/>
    <xf borderId="0" fillId="0" fontId="1" numFmtId="0" xfId="0" applyFont="1"/>
    <xf borderId="0" fillId="0" fontId="1" numFmtId="164" xfId="0" applyAlignment="1" applyFont="1" applyNumberFormat="1">
      <alignment readingOrder="0"/>
    </xf>
    <xf borderId="0" fillId="0" fontId="2" numFmtId="0" xfId="0" applyFont="1"/>
    <xf borderId="0" fillId="0" fontId="2" numFmtId="0" xfId="0" applyAlignment="1" applyFont="1">
      <alignment horizontal="left" readingOrder="0"/>
    </xf>
    <xf borderId="0" fillId="0" fontId="2" numFmtId="0" xfId="0" applyAlignment="1" applyFont="1">
      <alignment horizontal="left"/>
    </xf>
    <xf borderId="0" fillId="2" fontId="3" numFmtId="0" xfId="0" applyAlignment="1" applyFill="1" applyFont="1">
      <alignment readingOrder="0"/>
    </xf>
    <xf borderId="0" fillId="0" fontId="4" numFmtId="0" xfId="0" applyAlignment="1" applyFont="1">
      <alignment vertical="bottom"/>
    </xf>
    <xf borderId="0" fillId="0" fontId="4" numFmtId="0" xfId="0" applyAlignment="1" applyFont="1">
      <alignment vertical="bottom"/>
    </xf>
    <xf borderId="0" fillId="2" fontId="5" numFmtId="0" xfId="0" applyAlignment="1" applyFont="1">
      <alignment readingOrder="0"/>
    </xf>
    <xf borderId="0" fillId="0" fontId="6" numFmtId="0" xfId="0" applyFont="1"/>
    <xf borderId="0" fillId="0" fontId="2" numFmtId="164" xfId="0" applyFont="1" applyNumberFormat="1"/>
    <xf borderId="1" fillId="0" fontId="1" numFmtId="0" xfId="0" applyAlignment="1" applyBorder="1" applyFont="1">
      <alignment readingOrder="0"/>
    </xf>
    <xf borderId="2" fillId="0" fontId="1" numFmtId="0" xfId="0" applyBorder="1" applyFont="1"/>
    <xf borderId="3" fillId="0" fontId="1" numFmtId="0" xfId="0" applyBorder="1" applyFont="1"/>
    <xf borderId="4" fillId="0" fontId="1" numFmtId="0" xfId="0" applyAlignment="1" applyBorder="1" applyFont="1">
      <alignment readingOrder="0"/>
    </xf>
    <xf borderId="5" fillId="0" fontId="1" numFmtId="0" xfId="0" applyBorder="1" applyFont="1"/>
    <xf borderId="1" fillId="0" fontId="1" numFmtId="0" xfId="0" applyBorder="1" applyFont="1"/>
    <xf borderId="0" fillId="3" fontId="1" numFmtId="0" xfId="0" applyAlignment="1" applyFill="1" applyFont="1">
      <alignment readingOrder="0"/>
    </xf>
    <xf borderId="0" fillId="0" fontId="1" numFmtId="0" xfId="0" applyAlignment="1" applyFont="1">
      <alignment horizontal="right" readingOrder="0"/>
    </xf>
    <xf borderId="0" fillId="0" fontId="1" numFmtId="0" xfId="0" applyAlignment="1" applyFont="1">
      <alignment horizontal="left" readingOrder="0"/>
    </xf>
    <xf borderId="1" fillId="3" fontId="1" numFmtId="0" xfId="0" applyAlignment="1" applyBorder="1" applyFont="1">
      <alignment readingOrder="0"/>
    </xf>
    <xf borderId="6" fillId="0" fontId="1" numFmtId="0" xfId="0" applyBorder="1" applyFont="1"/>
    <xf borderId="4" fillId="3" fontId="1" numFmtId="0" xfId="0" applyAlignment="1" applyBorder="1" applyFont="1">
      <alignment readingOrder="0"/>
    </xf>
    <xf borderId="0" fillId="0" fontId="1" numFmtId="1" xfId="0" applyFont="1" applyNumberFormat="1"/>
    <xf borderId="0" fillId="2" fontId="7" numFmtId="0" xfId="0" applyAlignment="1" applyFont="1">
      <alignment readingOrder="0" shrinkToFit="0" wrapText="1"/>
    </xf>
    <xf borderId="0" fillId="0" fontId="2" numFmtId="1" xfId="0" applyFont="1" applyNumberFormat="1"/>
    <xf borderId="0" fillId="0" fontId="1" numFmtId="1" xfId="0" applyAlignment="1" applyFont="1" applyNumberFormat="1">
      <alignment readingOrder="0"/>
    </xf>
    <xf borderId="0" fillId="2" fontId="8" numFmtId="0" xfId="0" applyAlignment="1" applyFont="1">
      <alignment readingOrder="0"/>
    </xf>
    <xf borderId="0" fillId="2" fontId="9" numFmtId="0" xfId="0" applyAlignment="1" applyFont="1">
      <alignment readingOrder="0"/>
    </xf>
    <xf borderId="0" fillId="0" fontId="10" numFmtId="0" xfId="0" applyAlignment="1" applyFont="1">
      <alignment readingOrder="0"/>
    </xf>
    <xf borderId="0" fillId="0" fontId="11" numFmtId="0" xfId="0" applyAlignment="1" applyFont="1">
      <alignment horizontal="left"/>
    </xf>
    <xf borderId="0" fillId="0" fontId="10" numFmtId="0" xfId="0" applyFont="1"/>
    <xf borderId="0" fillId="0" fontId="12" numFmtId="0" xfId="0" applyAlignment="1" applyFont="1">
      <alignment horizontal="center" readingOrder="0" shrinkToFit="0" wrapText="0"/>
    </xf>
    <xf borderId="1" fillId="0" fontId="13" numFmtId="0" xfId="0" applyAlignment="1" applyBorder="1" applyFont="1">
      <alignment readingOrder="0" shrinkToFit="0" vertical="bottom" wrapText="0"/>
    </xf>
    <xf borderId="1" fillId="0" fontId="13" numFmtId="0" xfId="0" applyAlignment="1" applyBorder="1" applyFont="1">
      <alignment readingOrder="0" shrinkToFit="0" vertical="bottom" wrapText="0"/>
    </xf>
    <xf borderId="0" fillId="0" fontId="13" numFmtId="0" xfId="0" applyAlignment="1" applyFont="1">
      <alignment readingOrder="0" shrinkToFit="0" vertical="bottom" wrapText="0"/>
    </xf>
    <xf borderId="0" fillId="0" fontId="6" numFmtId="0" xfId="0" applyAlignment="1" applyFont="1">
      <alignment readingOrder="0"/>
    </xf>
    <xf borderId="0" fillId="0" fontId="14" numFmtId="0" xfId="0" applyAlignment="1" applyFont="1">
      <alignment readingOrder="0"/>
    </xf>
    <xf borderId="0" fillId="0" fontId="13" numFmtId="0" xfId="0" applyAlignment="1" applyFont="1">
      <alignment shrinkToFit="0" vertical="bottom" wrapText="0"/>
    </xf>
    <xf borderId="4" fillId="0" fontId="13" numFmtId="0" xfId="0" applyAlignment="1" applyBorder="1" applyFont="1">
      <alignment readingOrder="0" shrinkToFit="0" vertical="bottom" wrapText="0"/>
    </xf>
    <xf borderId="0" fillId="2" fontId="15" numFmtId="0" xfId="0" applyAlignment="1" applyFont="1">
      <alignment readingOrder="0" shrinkToFit="0" wrapText="1"/>
    </xf>
    <xf borderId="0" fillId="2" fontId="16" numFmtId="0" xfId="0" applyAlignment="1" applyFont="1">
      <alignment readingOrder="0" shrinkToFit="0" wrapText="1"/>
    </xf>
    <xf borderId="0" fillId="0" fontId="2" numFmtId="0" xfId="0" applyAlignment="1" applyFont="1">
      <alignment horizontal="center" readingOrder="0"/>
    </xf>
    <xf borderId="0" fillId="0" fontId="1" numFmtId="165" xfId="0" applyAlignment="1" applyFont="1" applyNumberFormat="1">
      <alignment readingOrder="0"/>
    </xf>
    <xf borderId="0" fillId="0" fontId="1" numFmtId="0" xfId="0" applyAlignment="1" applyFont="1">
      <alignment horizontal="center" readingOrder="0"/>
    </xf>
    <xf borderId="0" fillId="0" fontId="17" numFmtId="0" xfId="0" applyFont="1"/>
    <xf borderId="0" fillId="0" fontId="18" numFmtId="0" xfId="0" applyAlignment="1" applyFont="1">
      <alignment readingOrder="0"/>
    </xf>
    <xf borderId="0" fillId="2" fontId="19" numFmtId="0" xfId="0" applyAlignment="1" applyFont="1">
      <alignment readingOrder="0"/>
    </xf>
    <xf borderId="0" fillId="0" fontId="18" numFmtId="0" xfId="0" applyFont="1"/>
    <xf borderId="0" fillId="2" fontId="7" numFmtId="0" xfId="0" applyAlignment="1" applyFont="1">
      <alignment readingOrder="0" shrinkToFit="0" wrapText="1"/>
    </xf>
    <xf borderId="7" fillId="0" fontId="13" numFmtId="0" xfId="0" applyAlignment="1" applyBorder="1" applyFont="1">
      <alignment shrinkToFit="0" vertical="bottom" wrapText="0"/>
    </xf>
    <xf borderId="8" fillId="0" fontId="13" numFmtId="0" xfId="0" applyAlignment="1" applyBorder="1" applyFont="1">
      <alignment readingOrder="0" shrinkToFit="0" vertical="bottom" wrapText="0"/>
    </xf>
    <xf borderId="7" fillId="0" fontId="13" numFmtId="0" xfId="0" applyAlignment="1" applyBorder="1" applyFont="1">
      <alignment readingOrder="0" shrinkToFit="0" vertical="bottom" wrapText="0"/>
    </xf>
    <xf borderId="9" fillId="0" fontId="13" numFmtId="0" xfId="0" applyAlignment="1" applyBorder="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24" Type="http://schemas.openxmlformats.org/officeDocument/2006/relationships/worksheet" Target="worksheets/sheet20.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8.xml"/><Relationship Id="rId3"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c r="A1" s="1" t="s">
        <v>0</v>
      </c>
      <c r="B1" s="2" t="s">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5.75"/>
    <col customWidth="1" min="3" max="3" width="4.38"/>
    <col customWidth="1" min="4" max="4" width="2.38"/>
    <col customWidth="1" min="5" max="5" width="3.13"/>
    <col customWidth="1" min="6" max="6" width="3.25"/>
    <col customWidth="1" min="7" max="7" width="2.88"/>
    <col customWidth="1" min="8" max="8" width="4.63"/>
    <col customWidth="1" min="9" max="9" width="3.63"/>
    <col customWidth="1" min="10" max="17" width="4.25"/>
  </cols>
  <sheetData>
    <row r="1">
      <c r="A1" s="3">
        <f>SUM(C2:I34)-'все бани'!C1-SUM('все бани'!D2:AJ7)</f>
        <v>0</v>
      </c>
      <c r="B1" s="3" t="s">
        <v>2</v>
      </c>
      <c r="C1" s="3" t="s">
        <v>3</v>
      </c>
      <c r="D1" s="3" t="s">
        <v>4</v>
      </c>
      <c r="E1" s="3" t="s">
        <v>5</v>
      </c>
      <c r="F1" s="3" t="s">
        <v>6</v>
      </c>
      <c r="G1" s="3" t="s">
        <v>7</v>
      </c>
      <c r="H1" s="3" t="s">
        <v>8</v>
      </c>
      <c r="I1" s="3" t="s">
        <v>9</v>
      </c>
      <c r="J1" s="3" t="s">
        <v>10</v>
      </c>
      <c r="K1" s="3" t="s">
        <v>11</v>
      </c>
      <c r="L1" s="3" t="s">
        <v>12</v>
      </c>
      <c r="M1" s="3" t="s">
        <v>13</v>
      </c>
      <c r="N1" s="3" t="s">
        <v>14</v>
      </c>
      <c r="O1" s="3" t="s">
        <v>15</v>
      </c>
      <c r="P1" s="3" t="s">
        <v>16</v>
      </c>
      <c r="Q1" s="3" t="s">
        <v>17</v>
      </c>
    </row>
    <row r="2">
      <c r="A2" s="4" t="s">
        <v>18</v>
      </c>
      <c r="B2" s="5">
        <f t="shared" ref="B2:B34" si="1">SUM(C2:Q2)</f>
        <v>172.85</v>
      </c>
      <c r="C2" s="6">
        <f>VLOOKUP(A2,'недельный зачет'!$A:$B,2,FALSE)</f>
        <v>30</v>
      </c>
      <c r="D2" s="6">
        <f>HLOOKUP(A2,'все бани'!$1:$7,7,FALSE)</f>
        <v>17</v>
      </c>
      <c r="E2" s="6">
        <f>HLOOKUP(A2,'все бани'!$1:$7,6,FALSE)</f>
        <v>13</v>
      </c>
      <c r="F2" s="6">
        <f>HLOOKUP(A2,'все бани'!$1:$7,5,FALSE)</f>
        <v>13</v>
      </c>
      <c r="G2" s="6">
        <f>HLOOKUP(A2,'все бани'!$1:$7,2,FALSE)</f>
        <v>13</v>
      </c>
      <c r="H2" s="6">
        <f>HLOOKUP(A2,'все бани'!$1:$7,4,FALSE)</f>
        <v>14</v>
      </c>
      <c r="I2" s="6">
        <f>HLOOKUP(A2,'все бани'!$1:$7,3,FALSE)</f>
        <v>11</v>
      </c>
      <c r="J2" s="7">
        <v>8.0</v>
      </c>
      <c r="K2" s="7">
        <f>45/4</f>
        <v>11.25</v>
      </c>
      <c r="L2" s="4">
        <v>10.0</v>
      </c>
      <c r="M2" s="4">
        <v>8.0</v>
      </c>
      <c r="N2" s="4">
        <v>0.0</v>
      </c>
      <c r="O2" s="7">
        <v>12.0</v>
      </c>
      <c r="P2" s="7">
        <v>12.0</v>
      </c>
      <c r="Q2" s="5">
        <f>3/5</f>
        <v>0.6</v>
      </c>
    </row>
    <row r="3">
      <c r="A3" s="4" t="s">
        <v>19</v>
      </c>
      <c r="B3" s="5">
        <f t="shared" si="1"/>
        <v>142.3527778</v>
      </c>
      <c r="C3" s="6">
        <f>VLOOKUP(A3,'недельный зачет'!$A:$B,2,FALSE)</f>
        <v>20</v>
      </c>
      <c r="D3" s="6">
        <f>HLOOKUP(A3,'все бани'!$1:$7,7,FALSE)</f>
        <v>20</v>
      </c>
      <c r="E3" s="6">
        <f>HLOOKUP(A3,'все бани'!$1:$7,6,FALSE)</f>
        <v>18</v>
      </c>
      <c r="F3" s="6">
        <f>HLOOKUP(A3,'все бани'!$1:$7,5,FALSE)</f>
        <v>8</v>
      </c>
      <c r="G3" s="6">
        <f>HLOOKUP(A3,'все бани'!$1:$7,2,FALSE)</f>
        <v>9</v>
      </c>
      <c r="H3" s="6">
        <f>HLOOKUP(A3,'все бани'!$1:$7,4,FALSE)</f>
        <v>14</v>
      </c>
      <c r="I3" s="6">
        <f>HLOOKUP(A3,'все бани'!$1:$7,3,FALSE)</f>
        <v>17</v>
      </c>
      <c r="J3" s="7">
        <f>3/8</f>
        <v>0.375</v>
      </c>
      <c r="K3" s="4">
        <v>6.0</v>
      </c>
      <c r="L3" s="4">
        <v>0.0</v>
      </c>
      <c r="M3" s="4">
        <f t="shared" ref="M3:M4" si="2">7/10</f>
        <v>0.7</v>
      </c>
      <c r="N3" s="4">
        <v>0.0</v>
      </c>
      <c r="O3" s="7">
        <f t="shared" ref="O3:O4" si="3">7/9</f>
        <v>0.7777777778</v>
      </c>
      <c r="P3" s="4">
        <v>15.0</v>
      </c>
      <c r="Q3" s="4">
        <v>13.5</v>
      </c>
    </row>
    <row r="4">
      <c r="A4" s="4" t="s">
        <v>20</v>
      </c>
      <c r="B4" s="5">
        <f t="shared" si="1"/>
        <v>148.3111111</v>
      </c>
      <c r="C4" s="6">
        <f>VLOOKUP(A4,'недельный зачет'!$A:$B,2,FALSE)</f>
        <v>24</v>
      </c>
      <c r="D4" s="6">
        <f>HLOOKUP(A4,'все бани'!$1:$7,7,FALSE)</f>
        <v>18</v>
      </c>
      <c r="E4" s="6">
        <f>HLOOKUP(A4,'все бани'!$1:$7,6,FALSE)</f>
        <v>9</v>
      </c>
      <c r="F4" s="6">
        <f>HLOOKUP(A4,'все бани'!$1:$7,5,FALSE)</f>
        <v>13</v>
      </c>
      <c r="G4" s="6">
        <f>HLOOKUP(A4,'все бани'!$1:$7,2,FALSE)</f>
        <v>16</v>
      </c>
      <c r="H4" s="6">
        <f>HLOOKUP(A4,'все бани'!$1:$7,4,FALSE)</f>
        <v>13</v>
      </c>
      <c r="I4" s="6">
        <f>HLOOKUP(A4,'все бани'!$1:$7,3,FALSE)</f>
        <v>7</v>
      </c>
      <c r="J4" s="7">
        <v>8.0</v>
      </c>
      <c r="K4" s="7">
        <f t="shared" ref="K4:K6" si="4">45/4</f>
        <v>11.25</v>
      </c>
      <c r="L4" s="7">
        <f>1/4</f>
        <v>0.25</v>
      </c>
      <c r="M4" s="4">
        <f t="shared" si="2"/>
        <v>0.7</v>
      </c>
      <c r="N4" s="7">
        <f t="shared" ref="N4:N5" si="5">37/3</f>
        <v>12.33333333</v>
      </c>
      <c r="O4" s="7">
        <f t="shared" si="3"/>
        <v>0.7777777778</v>
      </c>
      <c r="P4" s="4">
        <v>8.0</v>
      </c>
      <c r="Q4" s="4">
        <v>7.0</v>
      </c>
    </row>
    <row r="5">
      <c r="A5" s="4" t="s">
        <v>21</v>
      </c>
      <c r="B5" s="5">
        <f t="shared" si="1"/>
        <v>137.9333333</v>
      </c>
      <c r="C5" s="6">
        <f>VLOOKUP(A5,'недельный зачет'!$A:$B,2,FALSE)</f>
        <v>34</v>
      </c>
      <c r="D5" s="6">
        <f>HLOOKUP(A5,'все бани'!$1:$7,7,FALSE)</f>
        <v>7</v>
      </c>
      <c r="E5" s="6">
        <f>HLOOKUP(A5,'все бани'!$1:$7,6,FALSE)</f>
        <v>3</v>
      </c>
      <c r="F5" s="6">
        <f>HLOOKUP(A5,'все бани'!$1:$7,5,FALSE)</f>
        <v>2</v>
      </c>
      <c r="G5" s="6">
        <f>HLOOKUP(A5,'все бани'!$1:$7,2,FALSE)</f>
        <v>0</v>
      </c>
      <c r="H5" s="6">
        <f>HLOOKUP(A5,'все бани'!$1:$7,4,FALSE)</f>
        <v>1</v>
      </c>
      <c r="I5" s="6">
        <f>HLOOKUP(A5,'все бани'!$1:$7,3,FALSE)</f>
        <v>5</v>
      </c>
      <c r="J5" s="7">
        <v>15.0</v>
      </c>
      <c r="K5" s="7">
        <f t="shared" si="4"/>
        <v>11.25</v>
      </c>
      <c r="L5" s="7">
        <v>13.5</v>
      </c>
      <c r="M5" s="7">
        <v>15.0</v>
      </c>
      <c r="N5" s="7">
        <f t="shared" si="5"/>
        <v>12.33333333</v>
      </c>
      <c r="O5" s="7">
        <v>15.0</v>
      </c>
      <c r="P5" s="7">
        <f>13/4</f>
        <v>3.25</v>
      </c>
      <c r="Q5" s="5">
        <f>3/5</f>
        <v>0.6</v>
      </c>
    </row>
    <row r="6">
      <c r="A6" s="4" t="s">
        <v>22</v>
      </c>
      <c r="B6" s="5">
        <f t="shared" si="1"/>
        <v>126.6641414</v>
      </c>
      <c r="C6" s="6">
        <f>VLOOKUP(A6,'недельный зачет'!$A:$B,2,FALSE)</f>
        <v>20</v>
      </c>
      <c r="D6" s="6">
        <f>HLOOKUP(A6,'все бани'!$1:$7,7,FALSE)</f>
        <v>17</v>
      </c>
      <c r="E6" s="6">
        <f>HLOOKUP(A6,'все бани'!$1:$7,6,FALSE)</f>
        <v>8</v>
      </c>
      <c r="F6" s="6">
        <f>HLOOKUP(A6,'все бани'!$1:$7,5,FALSE)</f>
        <v>7</v>
      </c>
      <c r="G6" s="6">
        <f>HLOOKUP(A6,'все бани'!$1:$7,2,FALSE)</f>
        <v>9</v>
      </c>
      <c r="H6" s="6">
        <f>HLOOKUP(A6,'все бани'!$1:$7,4,FALSE)</f>
        <v>12</v>
      </c>
      <c r="I6" s="6">
        <f>HLOOKUP(A6,'все бани'!$1:$7,3,FALSE)</f>
        <v>11</v>
      </c>
      <c r="J6" s="4">
        <v>0.0</v>
      </c>
      <c r="K6" s="7">
        <f t="shared" si="4"/>
        <v>11.25</v>
      </c>
      <c r="L6" s="4">
        <v>5.0</v>
      </c>
      <c r="M6" s="4">
        <v>8.0</v>
      </c>
      <c r="N6" s="7">
        <f>7/11</f>
        <v>0.6363636364</v>
      </c>
      <c r="O6" s="7">
        <f>7/9</f>
        <v>0.7777777778</v>
      </c>
      <c r="P6" s="4">
        <v>10.0</v>
      </c>
      <c r="Q6" s="4">
        <v>7.0</v>
      </c>
    </row>
    <row r="7">
      <c r="A7" s="4" t="s">
        <v>23</v>
      </c>
      <c r="B7" s="5">
        <f t="shared" si="1"/>
        <v>122.625</v>
      </c>
      <c r="C7" s="6">
        <f>VLOOKUP(A7,'недельный зачет'!$A:$B,2,FALSE)</f>
        <v>21</v>
      </c>
      <c r="D7" s="6">
        <f>HLOOKUP(A7,'все бани'!$1:$7,7,FALSE)</f>
        <v>10</v>
      </c>
      <c r="E7" s="6">
        <f>HLOOKUP(A7,'все бани'!$1:$7,6,FALSE)</f>
        <v>0</v>
      </c>
      <c r="F7" s="6">
        <f>HLOOKUP(A7,'все бани'!$1:$7,5,FALSE)</f>
        <v>13</v>
      </c>
      <c r="G7" s="6">
        <f>HLOOKUP(A7,'все бани'!$1:$7,2,FALSE)</f>
        <v>8</v>
      </c>
      <c r="H7" s="6">
        <f>HLOOKUP(A7,'все бани'!$1:$7,4,FALSE)</f>
        <v>15</v>
      </c>
      <c r="I7" s="6">
        <f>HLOOKUP(A7,'все бани'!$1:$7,3,FALSE)</f>
        <v>3</v>
      </c>
      <c r="J7" s="4">
        <v>0.0</v>
      </c>
      <c r="K7" s="7">
        <f t="shared" ref="K7:K8" si="6">7/8</f>
        <v>0.875</v>
      </c>
      <c r="L7" s="7">
        <v>13.5</v>
      </c>
      <c r="M7" s="7">
        <v>12.0</v>
      </c>
      <c r="N7" s="7">
        <v>6.0</v>
      </c>
      <c r="O7" s="7">
        <v>10.0</v>
      </c>
      <c r="P7" s="7">
        <f>13/4</f>
        <v>3.25</v>
      </c>
      <c r="Q7" s="4">
        <v>7.0</v>
      </c>
    </row>
    <row r="8">
      <c r="A8" s="4" t="s">
        <v>24</v>
      </c>
      <c r="B8" s="5">
        <f t="shared" si="1"/>
        <v>90.90833333</v>
      </c>
      <c r="C8" s="6">
        <f>VLOOKUP(A8,'недельный зачет'!$A:$B,2,FALSE)</f>
        <v>13</v>
      </c>
      <c r="D8" s="6">
        <f>HLOOKUP(A8,'все бани'!$1:$7,7,FALSE)</f>
        <v>12</v>
      </c>
      <c r="E8" s="6">
        <f>HLOOKUP(A8,'все бани'!$1:$7,6,FALSE)</f>
        <v>2</v>
      </c>
      <c r="F8" s="6">
        <f>HLOOKUP(A8,'все бани'!$1:$7,5,FALSE)</f>
        <v>10</v>
      </c>
      <c r="G8" s="6">
        <f>HLOOKUP(A8,'все бани'!$1:$7,2,FALSE)</f>
        <v>12</v>
      </c>
      <c r="H8" s="6">
        <f>HLOOKUP(A8,'все бани'!$1:$7,4,FALSE)</f>
        <v>11</v>
      </c>
      <c r="I8" s="6">
        <f>HLOOKUP(A8,'все бани'!$1:$7,3,FALSE)</f>
        <v>4</v>
      </c>
      <c r="J8" s="7">
        <v>8.0</v>
      </c>
      <c r="K8" s="7">
        <f t="shared" si="6"/>
        <v>0.875</v>
      </c>
      <c r="L8" s="4">
        <v>5.0</v>
      </c>
      <c r="M8" s="4">
        <f t="shared" ref="M8:M11" si="7">7/10</f>
        <v>0.7</v>
      </c>
      <c r="N8" s="7">
        <f>37/3</f>
        <v>12.33333333</v>
      </c>
      <c r="O8" s="4">
        <v>0.0</v>
      </c>
      <c r="P8" s="4">
        <v>0.0</v>
      </c>
      <c r="Q8" s="4">
        <v>0.0</v>
      </c>
    </row>
    <row r="9">
      <c r="A9" s="4" t="s">
        <v>25</v>
      </c>
      <c r="B9" s="5">
        <f t="shared" si="1"/>
        <v>70.73914141</v>
      </c>
      <c r="C9" s="6">
        <f>VLOOKUP(A9,'недельный зачет'!$A:$B,2,FALSE)</f>
        <v>13</v>
      </c>
      <c r="D9" s="6">
        <f>HLOOKUP(A9,'все бани'!$1:$7,7,FALSE)</f>
        <v>9</v>
      </c>
      <c r="E9" s="6">
        <f>HLOOKUP(A9,'все бани'!$1:$7,6,FALSE)</f>
        <v>1</v>
      </c>
      <c r="F9" s="6">
        <f>HLOOKUP(A9,'все бани'!$1:$7,5,FALSE)</f>
        <v>12</v>
      </c>
      <c r="G9" s="6">
        <f>HLOOKUP(A9,'все бани'!$1:$7,2,FALSE)</f>
        <v>6</v>
      </c>
      <c r="H9" s="6">
        <f>HLOOKUP(A9,'все бани'!$1:$7,4,FALSE)</f>
        <v>7</v>
      </c>
      <c r="I9" s="6">
        <f>HLOOKUP(A9,'все бани'!$1:$7,3,FALSE)</f>
        <v>5</v>
      </c>
      <c r="J9" s="7">
        <f t="shared" ref="J9:J10" si="8">3/8</f>
        <v>0.375</v>
      </c>
      <c r="K9" s="4">
        <v>0.0</v>
      </c>
      <c r="L9" s="4">
        <v>5.0</v>
      </c>
      <c r="M9" s="4">
        <f t="shared" si="7"/>
        <v>0.7</v>
      </c>
      <c r="N9" s="7">
        <f>7/11</f>
        <v>0.6363636364</v>
      </c>
      <c r="O9" s="7">
        <f t="shared" ref="O9:O11" si="9">7/9</f>
        <v>0.7777777778</v>
      </c>
      <c r="P9" s="7">
        <f>13/4</f>
        <v>3.25</v>
      </c>
      <c r="Q9" s="4">
        <v>7.0</v>
      </c>
    </row>
    <row r="10">
      <c r="A10" s="4" t="s">
        <v>26</v>
      </c>
      <c r="B10" s="5">
        <f t="shared" si="1"/>
        <v>66.85277778</v>
      </c>
      <c r="C10" s="6">
        <f>VLOOKUP(A10,'недельный зачет'!$A:$B,2,FALSE)</f>
        <v>11</v>
      </c>
      <c r="D10" s="6">
        <f>HLOOKUP(A10,'все бани'!$1:$7,7,FALSE)</f>
        <v>11</v>
      </c>
      <c r="E10" s="6">
        <f>HLOOKUP(A10,'все бани'!$1:$7,6,FALSE)</f>
        <v>3</v>
      </c>
      <c r="F10" s="6">
        <f>HLOOKUP(A10,'все бани'!$1:$7,5,FALSE)</f>
        <v>7</v>
      </c>
      <c r="G10" s="6">
        <f>HLOOKUP(A10,'все бани'!$1:$7,2,FALSE)</f>
        <v>11</v>
      </c>
      <c r="H10" s="6">
        <f>HLOOKUP(A10,'все бани'!$1:$7,4,FALSE)</f>
        <v>11</v>
      </c>
      <c r="I10" s="6">
        <f>HLOOKUP(A10,'все бани'!$1:$7,3,FALSE)</f>
        <v>3</v>
      </c>
      <c r="J10" s="7">
        <f t="shared" si="8"/>
        <v>0.375</v>
      </c>
      <c r="K10" s="4">
        <v>0.0</v>
      </c>
      <c r="L10" s="4">
        <v>0.0</v>
      </c>
      <c r="M10" s="4">
        <f t="shared" si="7"/>
        <v>0.7</v>
      </c>
      <c r="N10" s="7">
        <v>8.0</v>
      </c>
      <c r="O10" s="7">
        <f t="shared" si="9"/>
        <v>0.7777777778</v>
      </c>
      <c r="P10" s="4">
        <v>0.0</v>
      </c>
      <c r="Q10" s="4">
        <v>0.0</v>
      </c>
    </row>
    <row r="11">
      <c r="A11" s="4" t="s">
        <v>27</v>
      </c>
      <c r="B11" s="5">
        <f t="shared" si="1"/>
        <v>56.58914141</v>
      </c>
      <c r="C11" s="6">
        <f>VLOOKUP(A11,'недельный зачет'!$A:$B,2,FALSE)</f>
        <v>12</v>
      </c>
      <c r="D11" s="6">
        <f>HLOOKUP(A11,'все бани'!$1:$7,7,FALSE)</f>
        <v>6</v>
      </c>
      <c r="E11" s="6">
        <f>HLOOKUP(A11,'все бани'!$1:$7,6,FALSE)</f>
        <v>5</v>
      </c>
      <c r="F11" s="6">
        <f>HLOOKUP(A11,'все бани'!$1:$7,5,FALSE)</f>
        <v>10</v>
      </c>
      <c r="G11" s="6">
        <f>HLOOKUP(A11,'все бани'!$1:$7,2,FALSE)</f>
        <v>2</v>
      </c>
      <c r="H11" s="6">
        <f>HLOOKUP(A11,'все бани'!$1:$7,4,FALSE)</f>
        <v>9</v>
      </c>
      <c r="I11" s="6">
        <f>HLOOKUP(A11,'все бани'!$1:$7,3,FALSE)</f>
        <v>4</v>
      </c>
      <c r="J11" s="4">
        <v>0.0</v>
      </c>
      <c r="K11" s="7">
        <f t="shared" ref="K11:K13" si="10">7/8</f>
        <v>0.875</v>
      </c>
      <c r="L11" s="4">
        <v>5.0</v>
      </c>
      <c r="M11" s="4">
        <f t="shared" si="7"/>
        <v>0.7</v>
      </c>
      <c r="N11" s="7">
        <f>7/11</f>
        <v>0.6363636364</v>
      </c>
      <c r="O11" s="7">
        <f t="shared" si="9"/>
        <v>0.7777777778</v>
      </c>
      <c r="P11" s="4">
        <v>0.0</v>
      </c>
      <c r="Q11" s="5">
        <f>3/5</f>
        <v>0.6</v>
      </c>
    </row>
    <row r="12">
      <c r="A12" s="4" t="s">
        <v>28</v>
      </c>
      <c r="B12" s="5">
        <f t="shared" si="1"/>
        <v>46.375</v>
      </c>
      <c r="C12" s="6">
        <f>VLOOKUP(A12,'недельный зачет'!$A:$B,2,FALSE)</f>
        <v>8</v>
      </c>
      <c r="D12" s="6">
        <f>HLOOKUP(A12,'все бани'!$1:$7,7,FALSE)</f>
        <v>7</v>
      </c>
      <c r="E12" s="6">
        <f>HLOOKUP(A12,'все бани'!$1:$7,6,FALSE)</f>
        <v>1</v>
      </c>
      <c r="F12" s="6">
        <f>HLOOKUP(A12,'все бани'!$1:$7,5,FALSE)</f>
        <v>6</v>
      </c>
      <c r="G12" s="6">
        <f>HLOOKUP(A12,'все бани'!$1:$7,2,FALSE)</f>
        <v>5</v>
      </c>
      <c r="H12" s="6">
        <f>HLOOKUP(A12,'все бани'!$1:$7,4,FALSE)</f>
        <v>5</v>
      </c>
      <c r="I12" s="6">
        <f>HLOOKUP(A12,'все бани'!$1:$7,3,FALSE)</f>
        <v>3</v>
      </c>
      <c r="J12" s="4">
        <v>0.0</v>
      </c>
      <c r="K12" s="7">
        <f t="shared" si="10"/>
        <v>0.875</v>
      </c>
      <c r="L12" s="7">
        <f t="shared" ref="L12:L14" si="11">1/4</f>
        <v>0.25</v>
      </c>
      <c r="M12" s="4">
        <v>0.0</v>
      </c>
      <c r="N12" s="4">
        <v>0.0</v>
      </c>
      <c r="O12" s="7">
        <v>7.0</v>
      </c>
      <c r="P12" s="7">
        <f>13/4</f>
        <v>3.25</v>
      </c>
      <c r="Q12" s="4">
        <v>0.0</v>
      </c>
    </row>
    <row r="13">
      <c r="A13" s="4" t="s">
        <v>29</v>
      </c>
      <c r="B13" s="5">
        <f t="shared" si="1"/>
        <v>41.90277778</v>
      </c>
      <c r="C13" s="6">
        <f>VLOOKUP(A13,'недельный зачет'!$A:$B,2,FALSE)</f>
        <v>9</v>
      </c>
      <c r="D13" s="6">
        <f>HLOOKUP(A13,'все бани'!$1:$7,7,FALSE)</f>
        <v>6</v>
      </c>
      <c r="E13" s="6">
        <f>HLOOKUP(A13,'все бани'!$1:$7,6,FALSE)</f>
        <v>2</v>
      </c>
      <c r="F13" s="6">
        <f>HLOOKUP(A13,'все бани'!$1:$7,5,FALSE)</f>
        <v>2</v>
      </c>
      <c r="G13" s="6">
        <f>HLOOKUP(A13,'все бани'!$1:$7,2,FALSE)</f>
        <v>0</v>
      </c>
      <c r="H13" s="6">
        <f>HLOOKUP(A13,'все бани'!$1:$7,4,FALSE)</f>
        <v>2</v>
      </c>
      <c r="I13" s="6">
        <f>HLOOKUP(A13,'все бани'!$1:$7,3,FALSE)</f>
        <v>3</v>
      </c>
      <c r="J13" s="7">
        <v>8.0</v>
      </c>
      <c r="K13" s="7">
        <f t="shared" si="10"/>
        <v>0.875</v>
      </c>
      <c r="L13" s="7">
        <f t="shared" si="11"/>
        <v>0.25</v>
      </c>
      <c r="M13" s="4">
        <v>8.0</v>
      </c>
      <c r="N13" s="4">
        <v>0.0</v>
      </c>
      <c r="O13" s="7">
        <f t="shared" ref="O13:O14" si="12">7/9</f>
        <v>0.7777777778</v>
      </c>
      <c r="P13" s="4">
        <v>0.0</v>
      </c>
      <c r="Q13" s="4">
        <v>0.0</v>
      </c>
    </row>
    <row r="14">
      <c r="A14" s="4" t="s">
        <v>30</v>
      </c>
      <c r="B14" s="5">
        <f t="shared" si="1"/>
        <v>32.66414141</v>
      </c>
      <c r="C14" s="6">
        <f>VLOOKUP(A14,'недельный зачет'!$A:$B,2,FALSE)</f>
        <v>7</v>
      </c>
      <c r="D14" s="6">
        <f>HLOOKUP(A14,'все бани'!$1:$7,7,FALSE)</f>
        <v>4</v>
      </c>
      <c r="E14" s="6">
        <f>HLOOKUP(A14,'все бани'!$1:$7,6,FALSE)</f>
        <v>1</v>
      </c>
      <c r="F14" s="6">
        <f>HLOOKUP(A14,'все бани'!$1:$7,5,FALSE)</f>
        <v>6</v>
      </c>
      <c r="G14" s="6">
        <f>HLOOKUP(A14,'все бани'!$1:$7,2,FALSE)</f>
        <v>0</v>
      </c>
      <c r="H14" s="6">
        <f>HLOOKUP(A14,'все бани'!$1:$7,4,FALSE)</f>
        <v>3</v>
      </c>
      <c r="I14" s="6">
        <f>HLOOKUP(A14,'все бани'!$1:$7,3,FALSE)</f>
        <v>2</v>
      </c>
      <c r="J14" s="7">
        <v>8.0</v>
      </c>
      <c r="K14" s="4">
        <v>0.0</v>
      </c>
      <c r="L14" s="7">
        <f t="shared" si="11"/>
        <v>0.25</v>
      </c>
      <c r="M14" s="4">
        <v>0.0</v>
      </c>
      <c r="N14" s="7">
        <f>7/11</f>
        <v>0.6363636364</v>
      </c>
      <c r="O14" s="7">
        <f t="shared" si="12"/>
        <v>0.7777777778</v>
      </c>
      <c r="P14" s="4">
        <v>0.0</v>
      </c>
      <c r="Q14" s="4">
        <v>0.0</v>
      </c>
    </row>
    <row r="15">
      <c r="A15" s="4" t="s">
        <v>31</v>
      </c>
      <c r="B15" s="5">
        <f t="shared" si="1"/>
        <v>27.55</v>
      </c>
      <c r="C15" s="6">
        <f>VLOOKUP(A15,'недельный зачет'!$A:$B,2,FALSE)</f>
        <v>6</v>
      </c>
      <c r="D15" s="6">
        <f>HLOOKUP(A15,'все бани'!$1:$7,7,FALSE)</f>
        <v>4</v>
      </c>
      <c r="E15" s="6">
        <f>HLOOKUP(A15,'все бани'!$1:$7,6,FALSE)</f>
        <v>1</v>
      </c>
      <c r="F15" s="6">
        <f>HLOOKUP(A15,'все бани'!$1:$7,5,FALSE)</f>
        <v>5</v>
      </c>
      <c r="G15" s="6">
        <f>HLOOKUP(A15,'все бани'!$1:$7,2,FALSE)</f>
        <v>0</v>
      </c>
      <c r="H15" s="6">
        <f>HLOOKUP(A15,'все бани'!$1:$7,4,FALSE)</f>
        <v>5</v>
      </c>
      <c r="I15" s="6">
        <f>HLOOKUP(A15,'все бани'!$1:$7,3,FALSE)</f>
        <v>4</v>
      </c>
      <c r="J15" s="7">
        <f>3/8</f>
        <v>0.375</v>
      </c>
      <c r="K15" s="7">
        <f>7/8</f>
        <v>0.875</v>
      </c>
      <c r="L15" s="4">
        <v>0.0</v>
      </c>
      <c r="M15" s="4">
        <f>7/10</f>
        <v>0.7</v>
      </c>
      <c r="N15" s="4">
        <v>0.0</v>
      </c>
      <c r="O15" s="4">
        <v>0.0</v>
      </c>
      <c r="P15" s="4">
        <v>0.0</v>
      </c>
      <c r="Q15" s="5">
        <f>3/5</f>
        <v>0.6</v>
      </c>
    </row>
    <row r="16">
      <c r="A16" s="4" t="s">
        <v>32</v>
      </c>
      <c r="B16" s="5">
        <f t="shared" si="1"/>
        <v>25.63636364</v>
      </c>
      <c r="C16" s="6">
        <f>VLOOKUP(A16,'недельный зачет'!$A:$B,2,FALSE)</f>
        <v>4</v>
      </c>
      <c r="D16" s="6">
        <f>HLOOKUP(A16,'все бани'!$1:$7,7,FALSE)</f>
        <v>3</v>
      </c>
      <c r="E16" s="6">
        <f>HLOOKUP(A16,'все бани'!$1:$7,6,FALSE)</f>
        <v>1</v>
      </c>
      <c r="F16" s="6">
        <f>HLOOKUP(A16,'все бани'!$1:$7,5,FALSE)</f>
        <v>2</v>
      </c>
      <c r="G16" s="6">
        <f>HLOOKUP(A16,'все бани'!$1:$7,2,FALSE)</f>
        <v>4</v>
      </c>
      <c r="H16" s="6">
        <f>HLOOKUP(A16,'все бани'!$1:$7,4,FALSE)</f>
        <v>1</v>
      </c>
      <c r="I16" s="6">
        <f>HLOOKUP(A16,'все бани'!$1:$7,3,FALSE)</f>
        <v>3</v>
      </c>
      <c r="J16" s="4">
        <v>0.0</v>
      </c>
      <c r="K16" s="4">
        <v>0.0</v>
      </c>
      <c r="L16" s="4">
        <v>0.0</v>
      </c>
      <c r="M16" s="4">
        <v>0.0</v>
      </c>
      <c r="N16" s="7">
        <f>7/11</f>
        <v>0.6363636364</v>
      </c>
      <c r="O16" s="7">
        <v>7.0</v>
      </c>
      <c r="P16" s="4">
        <v>0.0</v>
      </c>
      <c r="Q16" s="4">
        <v>0.0</v>
      </c>
    </row>
    <row r="17">
      <c r="A17" s="4" t="s">
        <v>33</v>
      </c>
      <c r="B17" s="5">
        <f t="shared" si="1"/>
        <v>25.27777778</v>
      </c>
      <c r="C17" s="6">
        <f>VLOOKUP(A17,'недельный зачет'!$A:$B,2,FALSE)</f>
        <v>3</v>
      </c>
      <c r="D17" s="6">
        <f>HLOOKUP(A17,'все бани'!$1:$7,7,FALSE)</f>
        <v>2</v>
      </c>
      <c r="E17" s="6">
        <f>HLOOKUP(A17,'все бани'!$1:$7,6,FALSE)</f>
        <v>1</v>
      </c>
      <c r="F17" s="6">
        <f>HLOOKUP(A17,'все бани'!$1:$7,5,FALSE)</f>
        <v>1</v>
      </c>
      <c r="G17" s="6">
        <f>HLOOKUP(A17,'все бани'!$1:$7,2,FALSE)</f>
        <v>2</v>
      </c>
      <c r="H17" s="6">
        <f>HLOOKUP(A17,'все бани'!$1:$7,4,FALSE)</f>
        <v>0</v>
      </c>
      <c r="I17" s="6">
        <f>HLOOKUP(A17,'все бани'!$1:$7,3,FALSE)</f>
        <v>2</v>
      </c>
      <c r="J17" s="4">
        <v>0.0</v>
      </c>
      <c r="K17" s="4">
        <v>0.0</v>
      </c>
      <c r="L17" s="4">
        <v>0.0</v>
      </c>
      <c r="M17" s="4">
        <v>0.0</v>
      </c>
      <c r="N17" s="4">
        <v>0.0</v>
      </c>
      <c r="O17" s="7">
        <f>7/9</f>
        <v>0.7777777778</v>
      </c>
      <c r="P17" s="4">
        <v>0.0</v>
      </c>
      <c r="Q17" s="4">
        <v>13.5</v>
      </c>
    </row>
    <row r="18">
      <c r="A18" s="4" t="s">
        <v>34</v>
      </c>
      <c r="B18" s="5">
        <f t="shared" si="1"/>
        <v>29.21136364</v>
      </c>
      <c r="C18" s="6">
        <f>VLOOKUP(A18,'недельный зачет'!$A:$B,2,FALSE)</f>
        <v>7</v>
      </c>
      <c r="D18" s="6">
        <f>HLOOKUP(A18,'все бани'!$1:$7,7,FALSE)</f>
        <v>6</v>
      </c>
      <c r="E18" s="6">
        <f>HLOOKUP(A18,'все бани'!$1:$7,6,FALSE)</f>
        <v>1</v>
      </c>
      <c r="F18" s="6">
        <f>HLOOKUP(A18,'все бани'!$1:$7,5,FALSE)</f>
        <v>4</v>
      </c>
      <c r="G18" s="6">
        <f>HLOOKUP(A18,'все бани'!$1:$7,2,FALSE)</f>
        <v>2</v>
      </c>
      <c r="H18" s="6">
        <f>HLOOKUP(A18,'все бани'!$1:$7,4,FALSE)</f>
        <v>4</v>
      </c>
      <c r="I18" s="6">
        <f>HLOOKUP(A18,'все бани'!$1:$7,3,FALSE)</f>
        <v>3</v>
      </c>
      <c r="J18" s="4">
        <v>0.0</v>
      </c>
      <c r="K18" s="7">
        <f t="shared" ref="K18:K19" si="13">7/8</f>
        <v>0.875</v>
      </c>
      <c r="L18" s="4">
        <v>0.0</v>
      </c>
      <c r="M18" s="4">
        <f>7/10</f>
        <v>0.7</v>
      </c>
      <c r="N18" s="7">
        <f>7/11</f>
        <v>0.6363636364</v>
      </c>
      <c r="O18" s="4">
        <v>0.0</v>
      </c>
      <c r="P18" s="4">
        <v>0.0</v>
      </c>
      <c r="Q18" s="4">
        <v>0.0</v>
      </c>
    </row>
    <row r="19">
      <c r="A19" s="4" t="s">
        <v>35</v>
      </c>
      <c r="B19" s="5">
        <f t="shared" si="1"/>
        <v>29.475</v>
      </c>
      <c r="C19" s="6">
        <f>VLOOKUP(A19,'недельный зачет'!$A:$B,2,FALSE)</f>
        <v>5</v>
      </c>
      <c r="D19" s="6">
        <f>HLOOKUP(A19,'все бани'!$1:$7,7,FALSE)</f>
        <v>5</v>
      </c>
      <c r="E19" s="6">
        <f>HLOOKUP(A19,'все бани'!$1:$7,6,FALSE)</f>
        <v>1</v>
      </c>
      <c r="F19" s="6">
        <f>HLOOKUP(A19,'все бани'!$1:$7,5,FALSE)</f>
        <v>4</v>
      </c>
      <c r="G19" s="6">
        <f>HLOOKUP(A19,'все бани'!$1:$7,2,FALSE)</f>
        <v>6</v>
      </c>
      <c r="H19" s="6">
        <f>HLOOKUP(A19,'все бани'!$1:$7,4,FALSE)</f>
        <v>4</v>
      </c>
      <c r="I19" s="6">
        <f>HLOOKUP(A19,'все бани'!$1:$7,3,FALSE)</f>
        <v>3</v>
      </c>
      <c r="J19" s="4">
        <v>0.0</v>
      </c>
      <c r="K19" s="7">
        <f t="shared" si="13"/>
        <v>0.875</v>
      </c>
      <c r="L19" s="4">
        <v>0.0</v>
      </c>
      <c r="M19" s="4">
        <v>0.0</v>
      </c>
      <c r="N19" s="4">
        <v>0.0</v>
      </c>
      <c r="O19" s="4">
        <v>0.0</v>
      </c>
      <c r="P19" s="4">
        <v>0.0</v>
      </c>
      <c r="Q19" s="5">
        <f>3/5</f>
        <v>0.6</v>
      </c>
    </row>
    <row r="20">
      <c r="A20" s="4" t="s">
        <v>36</v>
      </c>
      <c r="B20" s="5">
        <f t="shared" si="1"/>
        <v>18.78914141</v>
      </c>
      <c r="C20" s="6">
        <f>VLOOKUP(A20,'недельный зачет'!$A:$B,2,FALSE)</f>
        <v>4</v>
      </c>
      <c r="D20" s="6">
        <f>HLOOKUP(A20,'все бани'!$1:$7,7,FALSE)</f>
        <v>4</v>
      </c>
      <c r="E20" s="6">
        <f>HLOOKUP(A20,'все бани'!$1:$7,6,FALSE)</f>
        <v>2</v>
      </c>
      <c r="F20" s="6">
        <f>HLOOKUP(A20,'все бани'!$1:$7,5,FALSE)</f>
        <v>1</v>
      </c>
      <c r="G20" s="6">
        <f>HLOOKUP(A20,'все бани'!$1:$7,2,FALSE)</f>
        <v>1</v>
      </c>
      <c r="H20" s="6">
        <f>HLOOKUP(A20,'все бани'!$1:$7,4,FALSE)</f>
        <v>1</v>
      </c>
      <c r="I20" s="6">
        <f>HLOOKUP(A20,'все бани'!$1:$7,3,FALSE)</f>
        <v>4</v>
      </c>
      <c r="J20" s="7">
        <f>3/8</f>
        <v>0.375</v>
      </c>
      <c r="K20" s="4">
        <v>0.0</v>
      </c>
      <c r="L20" s="4">
        <v>0.0</v>
      </c>
      <c r="M20" s="4">
        <v>0.0</v>
      </c>
      <c r="N20" s="7">
        <f t="shared" ref="N20:N23" si="14">7/11</f>
        <v>0.6363636364</v>
      </c>
      <c r="O20" s="7">
        <f>7/9</f>
        <v>0.7777777778</v>
      </c>
      <c r="P20" s="4">
        <v>0.0</v>
      </c>
      <c r="Q20" s="4">
        <v>0.0</v>
      </c>
    </row>
    <row r="21">
      <c r="A21" s="4" t="s">
        <v>37</v>
      </c>
      <c r="B21" s="5">
        <f t="shared" si="1"/>
        <v>17.63636364</v>
      </c>
      <c r="C21" s="6">
        <f>VLOOKUP(A21,'недельный зачет'!$A:$B,2,FALSE)</f>
        <v>3</v>
      </c>
      <c r="D21" s="6">
        <f>HLOOKUP(A21,'все бани'!$1:$7,7,FALSE)</f>
        <v>3</v>
      </c>
      <c r="E21" s="6">
        <f>HLOOKUP(A21,'все бани'!$1:$7,6,FALSE)</f>
        <v>0</v>
      </c>
      <c r="F21" s="6">
        <f>HLOOKUP(A21,'все бани'!$1:$7,5,FALSE)</f>
        <v>2</v>
      </c>
      <c r="G21" s="6">
        <f>HLOOKUP(A21,'все бани'!$1:$7,2,FALSE)</f>
        <v>5</v>
      </c>
      <c r="H21" s="6">
        <f>HLOOKUP(A21,'все бани'!$1:$7,4,FALSE)</f>
        <v>1</v>
      </c>
      <c r="I21" s="6">
        <f>HLOOKUP(A21,'все бани'!$1:$7,3,FALSE)</f>
        <v>3</v>
      </c>
      <c r="J21" s="4">
        <v>0.0</v>
      </c>
      <c r="K21" s="4">
        <v>0.0</v>
      </c>
      <c r="L21" s="4">
        <v>0.0</v>
      </c>
      <c r="M21" s="4">
        <v>0.0</v>
      </c>
      <c r="N21" s="7">
        <f t="shared" si="14"/>
        <v>0.6363636364</v>
      </c>
      <c r="O21" s="4">
        <v>0.0</v>
      </c>
      <c r="P21" s="4">
        <v>0.0</v>
      </c>
      <c r="Q21" s="4">
        <v>0.0</v>
      </c>
    </row>
    <row r="22">
      <c r="A22" s="4" t="s">
        <v>38</v>
      </c>
      <c r="B22" s="5">
        <f t="shared" si="1"/>
        <v>13.63636364</v>
      </c>
      <c r="C22" s="6">
        <f>VLOOKUP(A22,'недельный зачет'!$A:$B,2,FALSE)</f>
        <v>2</v>
      </c>
      <c r="D22" s="6">
        <f>HLOOKUP(A22,'все бани'!$1:$7,7,FALSE)</f>
        <v>2</v>
      </c>
      <c r="E22" s="6">
        <f>HLOOKUP(A22,'все бани'!$1:$7,6,FALSE)</f>
        <v>0</v>
      </c>
      <c r="F22" s="6">
        <f>HLOOKUP(A22,'все бани'!$1:$7,5,FALSE)</f>
        <v>2</v>
      </c>
      <c r="G22" s="6">
        <f>HLOOKUP(A22,'все бани'!$1:$7,2,FALSE)</f>
        <v>4</v>
      </c>
      <c r="H22" s="6">
        <f>HLOOKUP(A22,'все бани'!$1:$7,4,FALSE)</f>
        <v>1</v>
      </c>
      <c r="I22" s="6">
        <f>HLOOKUP(A22,'все бани'!$1:$7,3,FALSE)</f>
        <v>2</v>
      </c>
      <c r="J22" s="4">
        <v>0.0</v>
      </c>
      <c r="K22" s="4">
        <v>0.0</v>
      </c>
      <c r="L22" s="4">
        <v>0.0</v>
      </c>
      <c r="M22" s="4">
        <v>0.0</v>
      </c>
      <c r="N22" s="7">
        <f t="shared" si="14"/>
        <v>0.6363636364</v>
      </c>
      <c r="O22" s="4">
        <v>0.0</v>
      </c>
      <c r="P22" s="4">
        <v>0.0</v>
      </c>
      <c r="Q22" s="4">
        <v>0.0</v>
      </c>
    </row>
    <row r="23">
      <c r="A23" s="4" t="s">
        <v>39</v>
      </c>
      <c r="B23" s="5">
        <f t="shared" si="1"/>
        <v>13.01136364</v>
      </c>
      <c r="C23" s="6">
        <f>VLOOKUP(A23,'недельный зачет'!$A:$B,2,FALSE)</f>
        <v>2</v>
      </c>
      <c r="D23" s="6">
        <f>HLOOKUP(A23,'все бани'!$1:$7,7,FALSE)</f>
        <v>2</v>
      </c>
      <c r="E23" s="6">
        <f>HLOOKUP(A23,'все бани'!$1:$7,6,FALSE)</f>
        <v>1</v>
      </c>
      <c r="F23" s="6">
        <f>HLOOKUP(A23,'все бани'!$1:$7,5,FALSE)</f>
        <v>1</v>
      </c>
      <c r="G23" s="6">
        <f>HLOOKUP(A23,'все бани'!$1:$7,2,FALSE)</f>
        <v>1</v>
      </c>
      <c r="H23" s="6">
        <f>HLOOKUP(A23,'все бани'!$1:$7,4,FALSE)</f>
        <v>1</v>
      </c>
      <c r="I23" s="6">
        <f>HLOOKUP(A23,'все бани'!$1:$7,3,FALSE)</f>
        <v>4</v>
      </c>
      <c r="J23" s="7">
        <f t="shared" ref="J23:J24" si="15">3/8</f>
        <v>0.375</v>
      </c>
      <c r="K23" s="4">
        <v>0.0</v>
      </c>
      <c r="L23" s="4">
        <v>0.0</v>
      </c>
      <c r="M23" s="4">
        <v>0.0</v>
      </c>
      <c r="N23" s="7">
        <f t="shared" si="14"/>
        <v>0.6363636364</v>
      </c>
      <c r="O23" s="4">
        <v>0.0</v>
      </c>
      <c r="P23" s="4">
        <v>0.0</v>
      </c>
      <c r="Q23" s="4">
        <v>0.0</v>
      </c>
    </row>
    <row r="24">
      <c r="A24" s="4" t="s">
        <v>40</v>
      </c>
      <c r="B24" s="5">
        <f t="shared" si="1"/>
        <v>11.075</v>
      </c>
      <c r="C24" s="6">
        <f>VLOOKUP(A24,'недельный зачет'!$A:$B,2,FALSE)</f>
        <v>2</v>
      </c>
      <c r="D24" s="6">
        <f>HLOOKUP(A24,'все бани'!$1:$7,7,FALSE)</f>
        <v>2</v>
      </c>
      <c r="E24" s="6">
        <f>HLOOKUP(A24,'все бани'!$1:$7,6,FALSE)</f>
        <v>2</v>
      </c>
      <c r="F24" s="6">
        <f>HLOOKUP(A24,'все бани'!$1:$7,5,FALSE)</f>
        <v>1</v>
      </c>
      <c r="G24" s="6">
        <f>HLOOKUP(A24,'все бани'!$1:$7,2,FALSE)</f>
        <v>0</v>
      </c>
      <c r="H24" s="6">
        <f>HLOOKUP(A24,'все бани'!$1:$7,4,FALSE)</f>
        <v>0</v>
      </c>
      <c r="I24" s="6">
        <f>HLOOKUP(A24,'все бани'!$1:$7,3,FALSE)</f>
        <v>3</v>
      </c>
      <c r="J24" s="7">
        <f t="shared" si="15"/>
        <v>0.375</v>
      </c>
      <c r="K24" s="4">
        <v>0.0</v>
      </c>
      <c r="L24" s="4">
        <v>0.0</v>
      </c>
      <c r="M24" s="4">
        <f>7/10</f>
        <v>0.7</v>
      </c>
      <c r="N24" s="4">
        <v>0.0</v>
      </c>
      <c r="O24" s="4">
        <v>0.0</v>
      </c>
      <c r="P24" s="4">
        <v>0.0</v>
      </c>
      <c r="Q24" s="4">
        <v>0.0</v>
      </c>
    </row>
    <row r="25">
      <c r="A25" s="4" t="s">
        <v>41</v>
      </c>
      <c r="B25" s="5">
        <f t="shared" si="1"/>
        <v>9.636363636</v>
      </c>
      <c r="C25" s="6">
        <f>VLOOKUP(A25,'недельный зачет'!$A:$B,2,FALSE)</f>
        <v>1</v>
      </c>
      <c r="D25" s="6">
        <f>HLOOKUP(A25,'все бани'!$1:$7,7,FALSE)</f>
        <v>1</v>
      </c>
      <c r="E25" s="6">
        <f>HLOOKUP(A25,'все бани'!$1:$7,6,FALSE)</f>
        <v>0</v>
      </c>
      <c r="F25" s="6">
        <f>HLOOKUP(A25,'все бани'!$1:$7,5,FALSE)</f>
        <v>1</v>
      </c>
      <c r="G25" s="6">
        <f>HLOOKUP(A25,'все бани'!$1:$7,2,FALSE)</f>
        <v>3</v>
      </c>
      <c r="H25" s="6">
        <f>HLOOKUP(A25,'все бани'!$1:$7,4,FALSE)</f>
        <v>1</v>
      </c>
      <c r="I25" s="6">
        <f>HLOOKUP(A25,'все бани'!$1:$7,3,FALSE)</f>
        <v>2</v>
      </c>
      <c r="J25" s="4">
        <v>0.0</v>
      </c>
      <c r="K25" s="4">
        <v>0.0</v>
      </c>
      <c r="L25" s="4">
        <v>0.0</v>
      </c>
      <c r="M25" s="4">
        <v>0.0</v>
      </c>
      <c r="N25" s="7">
        <f>7/11</f>
        <v>0.6363636364</v>
      </c>
      <c r="O25" s="4">
        <v>0.0</v>
      </c>
      <c r="P25" s="4">
        <v>0.0</v>
      </c>
      <c r="Q25" s="4">
        <v>0.0</v>
      </c>
    </row>
    <row r="26">
      <c r="A26" s="4" t="s">
        <v>42</v>
      </c>
      <c r="B26" s="5">
        <f t="shared" si="1"/>
        <v>12</v>
      </c>
      <c r="C26" s="6">
        <f>VLOOKUP(A26,'недельный зачет'!$A:$B,2,FALSE)</f>
        <v>2</v>
      </c>
      <c r="D26" s="6">
        <f>HLOOKUP(A26,'все бани'!$1:$7,7,FALSE)</f>
        <v>2</v>
      </c>
      <c r="E26" s="6">
        <f>HLOOKUP(A26,'все бани'!$1:$7,6,FALSE)</f>
        <v>0</v>
      </c>
      <c r="F26" s="6">
        <f>HLOOKUP(A26,'все бани'!$1:$7,5,FALSE)</f>
        <v>2</v>
      </c>
      <c r="G26" s="6">
        <f>HLOOKUP(A26,'все бани'!$1:$7,2,FALSE)</f>
        <v>2</v>
      </c>
      <c r="H26" s="6">
        <f>HLOOKUP(A26,'все бани'!$1:$7,4,FALSE)</f>
        <v>2</v>
      </c>
      <c r="I26" s="6">
        <f>HLOOKUP(A26,'все бани'!$1:$7,3,FALSE)</f>
        <v>2</v>
      </c>
      <c r="J26" s="4">
        <v>0.0</v>
      </c>
      <c r="K26" s="4">
        <v>0.0</v>
      </c>
      <c r="L26" s="4">
        <v>0.0</v>
      </c>
      <c r="M26" s="4">
        <v>0.0</v>
      </c>
      <c r="N26" s="4">
        <v>0.0</v>
      </c>
      <c r="O26" s="4">
        <v>0.0</v>
      </c>
      <c r="P26" s="4">
        <v>0.0</v>
      </c>
      <c r="Q26" s="4">
        <v>0.0</v>
      </c>
    </row>
    <row r="27">
      <c r="A27" s="4" t="s">
        <v>43</v>
      </c>
      <c r="B27" s="6">
        <f t="shared" si="1"/>
        <v>6.7</v>
      </c>
      <c r="C27" s="6">
        <f>VLOOKUP(A27,'недельный зачет'!$A:$B,2,FALSE)</f>
        <v>1</v>
      </c>
      <c r="D27" s="6">
        <f>HLOOKUP(A27,'все бани'!$1:$7,7,FALSE)</f>
        <v>1</v>
      </c>
      <c r="E27" s="6">
        <f>HLOOKUP(A27,'все бани'!$1:$7,6,FALSE)</f>
        <v>1</v>
      </c>
      <c r="F27" s="6">
        <f>HLOOKUP(A27,'все бани'!$1:$7,5,FALSE)</f>
        <v>0</v>
      </c>
      <c r="G27" s="6">
        <f>HLOOKUP(A27,'все бани'!$1:$7,2,FALSE)</f>
        <v>0</v>
      </c>
      <c r="H27" s="6">
        <f>HLOOKUP(A27,'все бани'!$1:$7,4,FALSE)</f>
        <v>1</v>
      </c>
      <c r="I27" s="6">
        <f>HLOOKUP(A27,'все бани'!$1:$7,3,FALSE)</f>
        <v>2</v>
      </c>
      <c r="J27" s="4">
        <v>0.0</v>
      </c>
      <c r="K27" s="4">
        <v>0.0</v>
      </c>
      <c r="L27" s="4">
        <v>0.0</v>
      </c>
      <c r="M27" s="4">
        <f>7/10</f>
        <v>0.7</v>
      </c>
      <c r="N27" s="4">
        <v>0.0</v>
      </c>
      <c r="O27" s="4">
        <v>0.0</v>
      </c>
      <c r="P27" s="4">
        <v>0.0</v>
      </c>
      <c r="Q27" s="4">
        <v>0.0</v>
      </c>
    </row>
    <row r="28">
      <c r="A28" s="4" t="s">
        <v>44</v>
      </c>
      <c r="B28" s="5">
        <f t="shared" si="1"/>
        <v>6.375</v>
      </c>
      <c r="C28" s="6">
        <f>VLOOKUP(A28,'недельный зачет'!$A:$B,2,FALSE)</f>
        <v>1</v>
      </c>
      <c r="D28" s="6">
        <f>HLOOKUP(A28,'все бани'!$1:$7,7,FALSE)</f>
        <v>1</v>
      </c>
      <c r="E28" s="6">
        <f>HLOOKUP(A28,'все бани'!$1:$7,6,FALSE)</f>
        <v>1</v>
      </c>
      <c r="F28" s="6">
        <f>HLOOKUP(A28,'все бани'!$1:$7,5,FALSE)</f>
        <v>0</v>
      </c>
      <c r="G28" s="6">
        <f>HLOOKUP(A28,'все бани'!$1:$7,2,FALSE)</f>
        <v>1</v>
      </c>
      <c r="H28" s="6">
        <f>HLOOKUP(A28,'все бани'!$1:$7,4,FALSE)</f>
        <v>0</v>
      </c>
      <c r="I28" s="6">
        <f>HLOOKUP(A28,'все бани'!$1:$7,3,FALSE)</f>
        <v>2</v>
      </c>
      <c r="J28" s="7">
        <f>3/8</f>
        <v>0.375</v>
      </c>
      <c r="K28" s="4">
        <v>0.0</v>
      </c>
      <c r="L28" s="4">
        <v>0.0</v>
      </c>
      <c r="M28" s="4">
        <v>0.0</v>
      </c>
      <c r="N28" s="4">
        <v>0.0</v>
      </c>
      <c r="O28" s="4">
        <v>0.0</v>
      </c>
      <c r="P28" s="4">
        <v>0.0</v>
      </c>
      <c r="Q28" s="4">
        <v>0.0</v>
      </c>
    </row>
    <row r="29">
      <c r="A29" s="4" t="s">
        <v>45</v>
      </c>
      <c r="B29" s="5">
        <f t="shared" si="1"/>
        <v>6</v>
      </c>
      <c r="C29" s="6">
        <f>VLOOKUP(A29,'недельный зачет'!$A:$B,2,FALSE)</f>
        <v>1</v>
      </c>
      <c r="D29" s="6">
        <f>HLOOKUP(A29,'все бани'!$1:$7,7,FALSE)</f>
        <v>1</v>
      </c>
      <c r="E29" s="6">
        <f>HLOOKUP(A29,'все бани'!$1:$7,6,FALSE)</f>
        <v>0</v>
      </c>
      <c r="F29" s="6">
        <f>HLOOKUP(A29,'все бани'!$1:$7,5,FALSE)</f>
        <v>1</v>
      </c>
      <c r="G29" s="6">
        <f>HLOOKUP(A29,'все бани'!$1:$7,2,FALSE)</f>
        <v>1</v>
      </c>
      <c r="H29" s="6">
        <f>HLOOKUP(A29,'все бани'!$1:$7,4,FALSE)</f>
        <v>0</v>
      </c>
      <c r="I29" s="6">
        <f>HLOOKUP(A29,'все бани'!$1:$7,3,FALSE)</f>
        <v>2</v>
      </c>
      <c r="J29" s="4">
        <v>0.0</v>
      </c>
      <c r="K29" s="4">
        <v>0.0</v>
      </c>
      <c r="L29" s="4">
        <v>0.0</v>
      </c>
      <c r="M29" s="4">
        <v>0.0</v>
      </c>
      <c r="N29" s="4">
        <v>0.0</v>
      </c>
      <c r="O29" s="4">
        <v>0.0</v>
      </c>
      <c r="P29" s="4">
        <v>0.0</v>
      </c>
      <c r="Q29" s="4">
        <v>0.0</v>
      </c>
    </row>
    <row r="30">
      <c r="A30" s="4" t="s">
        <v>46</v>
      </c>
      <c r="B30" s="5">
        <f t="shared" si="1"/>
        <v>6</v>
      </c>
      <c r="C30" s="6">
        <f>VLOOKUP(A30,'недельный зачет'!$A:$B,2,FALSE)</f>
        <v>1</v>
      </c>
      <c r="D30" s="6">
        <f>HLOOKUP(A30,'все бани'!$1:$7,7,FALSE)</f>
        <v>1</v>
      </c>
      <c r="E30" s="6">
        <f>HLOOKUP(A30,'все бани'!$1:$7,6,FALSE)</f>
        <v>0</v>
      </c>
      <c r="F30" s="6">
        <f>HLOOKUP(A30,'все бани'!$1:$7,5,FALSE)</f>
        <v>1</v>
      </c>
      <c r="G30" s="6">
        <f>HLOOKUP(A30,'все бани'!$1:$7,2,FALSE)</f>
        <v>0</v>
      </c>
      <c r="H30" s="6">
        <f>HLOOKUP(A30,'все бани'!$1:$7,4,FALSE)</f>
        <v>1</v>
      </c>
      <c r="I30" s="6">
        <f>HLOOKUP(A30,'все бани'!$1:$7,3,FALSE)</f>
        <v>2</v>
      </c>
      <c r="J30" s="4">
        <v>0.0</v>
      </c>
      <c r="K30" s="4">
        <v>0.0</v>
      </c>
      <c r="L30" s="4">
        <v>0.0</v>
      </c>
      <c r="M30" s="4">
        <v>0.0</v>
      </c>
      <c r="N30" s="4">
        <v>0.0</v>
      </c>
      <c r="O30" s="4">
        <v>0.0</v>
      </c>
      <c r="P30" s="4">
        <v>0.0</v>
      </c>
      <c r="Q30" s="4">
        <v>0.0</v>
      </c>
    </row>
    <row r="31">
      <c r="A31" s="4" t="s">
        <v>47</v>
      </c>
      <c r="B31" s="6">
        <f t="shared" si="1"/>
        <v>0</v>
      </c>
      <c r="C31" s="6">
        <f>VLOOKUP(A31,'недельный зачет'!$A:$B,2,FALSE)</f>
        <v>0</v>
      </c>
      <c r="D31" s="6">
        <f>HLOOKUP(A31,'все бани'!$1:$7,7,FALSE)</f>
        <v>0</v>
      </c>
      <c r="E31" s="6">
        <f>HLOOKUP(A31,'все бани'!$1:$7,6,FALSE)</f>
        <v>0</v>
      </c>
      <c r="F31" s="6">
        <f>HLOOKUP(A31,'все бани'!$1:$7,5,FALSE)</f>
        <v>0</v>
      </c>
      <c r="G31" s="6">
        <f>HLOOKUP(A31,'все бани'!$1:$7,2,FALSE)</f>
        <v>0</v>
      </c>
      <c r="H31" s="6">
        <f>HLOOKUP(A31,'все бани'!$1:$7,4,FALSE)</f>
        <v>0</v>
      </c>
      <c r="I31" s="6">
        <f>HLOOKUP(A31,'все бани'!$1:$7,3,FALSE)</f>
        <v>0</v>
      </c>
      <c r="J31" s="4">
        <v>0.0</v>
      </c>
      <c r="K31" s="4">
        <v>0.0</v>
      </c>
      <c r="L31" s="4">
        <v>0.0</v>
      </c>
      <c r="M31" s="4">
        <v>0.0</v>
      </c>
      <c r="N31" s="4">
        <v>0.0</v>
      </c>
      <c r="O31" s="4">
        <v>0.0</v>
      </c>
      <c r="P31" s="4">
        <v>0.0</v>
      </c>
      <c r="Q31" s="4">
        <v>0.0</v>
      </c>
    </row>
    <row r="32">
      <c r="A32" s="4" t="s">
        <v>48</v>
      </c>
      <c r="B32" s="6">
        <f t="shared" si="1"/>
        <v>0</v>
      </c>
      <c r="C32" s="6">
        <f>VLOOKUP(A32,'недельный зачет'!$A:$B,2,FALSE)</f>
        <v>0</v>
      </c>
      <c r="D32" s="6">
        <f>HLOOKUP(A32,'все бани'!$1:$7,7,FALSE)</f>
        <v>0</v>
      </c>
      <c r="E32" s="6">
        <f>HLOOKUP(A32,'все бани'!$1:$7,6,FALSE)</f>
        <v>0</v>
      </c>
      <c r="F32" s="6">
        <f>HLOOKUP(A32,'все бани'!$1:$7,5,FALSE)</f>
        <v>0</v>
      </c>
      <c r="G32" s="6">
        <f>HLOOKUP(A32,'все бани'!$1:$7,2,FALSE)</f>
        <v>0</v>
      </c>
      <c r="H32" s="6">
        <f>HLOOKUP(A32,'все бани'!$1:$7,4,FALSE)</f>
        <v>0</v>
      </c>
      <c r="I32" s="6">
        <f>HLOOKUP(A32,'все бани'!$1:$7,3,FALSE)</f>
        <v>0</v>
      </c>
      <c r="J32" s="4">
        <v>0.0</v>
      </c>
      <c r="K32" s="4">
        <v>0.0</v>
      </c>
      <c r="L32" s="4">
        <v>0.0</v>
      </c>
      <c r="M32" s="4">
        <v>0.0</v>
      </c>
      <c r="N32" s="4">
        <v>0.0</v>
      </c>
      <c r="O32" s="4">
        <v>0.0</v>
      </c>
      <c r="P32" s="4">
        <v>0.0</v>
      </c>
      <c r="Q32" s="4">
        <v>0.0</v>
      </c>
    </row>
    <row r="33">
      <c r="A33" s="4" t="s">
        <v>49</v>
      </c>
      <c r="B33" s="6">
        <f t="shared" si="1"/>
        <v>0</v>
      </c>
      <c r="C33" s="6">
        <f>VLOOKUP(A33,'недельный зачет'!$A:$B,2,FALSE)</f>
        <v>0</v>
      </c>
      <c r="D33" s="6">
        <f>HLOOKUP(A33,'все бани'!$1:$7,7,FALSE)</f>
        <v>0</v>
      </c>
      <c r="E33" s="6">
        <f>HLOOKUP(A33,'все бани'!$1:$7,6,FALSE)</f>
        <v>0</v>
      </c>
      <c r="F33" s="6">
        <f>HLOOKUP(A33,'все бани'!$1:$7,5,FALSE)</f>
        <v>0</v>
      </c>
      <c r="G33" s="6">
        <f>HLOOKUP(A33,'все бани'!$1:$7,2,FALSE)</f>
        <v>0</v>
      </c>
      <c r="H33" s="6">
        <f>HLOOKUP(A33,'все бани'!$1:$7,4,FALSE)</f>
        <v>0</v>
      </c>
      <c r="I33" s="6">
        <f>HLOOKUP(A33,'все бани'!$1:$7,3,FALSE)</f>
        <v>0</v>
      </c>
      <c r="J33" s="4">
        <v>0.0</v>
      </c>
      <c r="K33" s="4">
        <v>0.0</v>
      </c>
      <c r="L33" s="4">
        <v>0.0</v>
      </c>
      <c r="M33" s="4">
        <v>0.0</v>
      </c>
      <c r="N33" s="4">
        <v>0.0</v>
      </c>
      <c r="O33" s="4">
        <v>0.0</v>
      </c>
      <c r="P33" s="4">
        <v>0.0</v>
      </c>
      <c r="Q33" s="4">
        <v>0.0</v>
      </c>
    </row>
    <row r="34">
      <c r="A34" s="4" t="s">
        <v>50</v>
      </c>
      <c r="B34" s="6">
        <f t="shared" si="1"/>
        <v>0</v>
      </c>
      <c r="C34" s="6">
        <f>VLOOKUP(A34,'недельный зачет'!$A:$B,2,FALSE)</f>
        <v>0</v>
      </c>
      <c r="D34" s="6">
        <f>HLOOKUP(A34,'все бани'!$1:$7,7,FALSE)</f>
        <v>0</v>
      </c>
      <c r="E34" s="6">
        <f>HLOOKUP(A34,'все бани'!$1:$7,6,FALSE)</f>
        <v>0</v>
      </c>
      <c r="F34" s="6">
        <f>HLOOKUP(A34,'все бани'!$1:$7,5,FALSE)</f>
        <v>0</v>
      </c>
      <c r="G34" s="6">
        <f>HLOOKUP(A34,'все бани'!$1:$7,2,FALSE)</f>
        <v>0</v>
      </c>
      <c r="H34" s="6">
        <f>HLOOKUP(A34,'все бани'!$1:$7,4,FALSE)</f>
        <v>0</v>
      </c>
      <c r="I34" s="6">
        <f>HLOOKUP(A34,'все бани'!$1:$7,3,FALSE)</f>
        <v>0</v>
      </c>
      <c r="J34" s="4">
        <v>0.0</v>
      </c>
      <c r="K34" s="4">
        <v>0.0</v>
      </c>
      <c r="L34" s="4">
        <v>0.0</v>
      </c>
      <c r="M34" s="4">
        <v>0.0</v>
      </c>
      <c r="N34" s="4">
        <v>0.0</v>
      </c>
      <c r="O34" s="4">
        <v>0.0</v>
      </c>
      <c r="P34" s="4">
        <v>0.0</v>
      </c>
      <c r="Q34" s="4">
        <v>0.0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7.63"/>
    <col customWidth="1" min="2" max="2" width="5.38"/>
    <col customWidth="1" min="3" max="9" width="3.5"/>
    <col customWidth="1" min="10" max="10" width="3.63"/>
    <col customWidth="1" min="11" max="11" width="3.5"/>
  </cols>
  <sheetData>
    <row r="1">
      <c r="B1" s="3">
        <f t="shared" ref="B1:K1" si="1">SUM(B3:B191)</f>
        <v>267</v>
      </c>
      <c r="C1" s="3">
        <f t="shared" si="1"/>
        <v>35</v>
      </c>
      <c r="D1" s="3">
        <f t="shared" si="1"/>
        <v>22</v>
      </c>
      <c r="E1" s="3">
        <f t="shared" si="1"/>
        <v>22</v>
      </c>
      <c r="F1" s="3">
        <f t="shared" si="1"/>
        <v>23</v>
      </c>
      <c r="G1" s="3">
        <f t="shared" si="1"/>
        <v>23</v>
      </c>
      <c r="H1" s="3">
        <f t="shared" si="1"/>
        <v>28</v>
      </c>
      <c r="I1" s="3">
        <f t="shared" si="1"/>
        <v>28</v>
      </c>
      <c r="J1" s="3">
        <f t="shared" si="1"/>
        <v>67</v>
      </c>
      <c r="K1" s="3">
        <f t="shared" si="1"/>
        <v>19</v>
      </c>
    </row>
    <row r="2">
      <c r="B2" s="4" t="s">
        <v>51</v>
      </c>
      <c r="C2" s="4" t="s">
        <v>52</v>
      </c>
      <c r="D2" s="4" t="s">
        <v>10</v>
      </c>
      <c r="E2" s="4" t="s">
        <v>11</v>
      </c>
      <c r="F2" s="4" t="s">
        <v>12</v>
      </c>
      <c r="G2" s="4" t="s">
        <v>13</v>
      </c>
      <c r="H2" s="4" t="s">
        <v>14</v>
      </c>
      <c r="I2" s="4" t="s">
        <v>15</v>
      </c>
      <c r="J2" s="4" t="s">
        <v>16</v>
      </c>
      <c r="K2" s="4" t="s">
        <v>17</v>
      </c>
    </row>
    <row r="3">
      <c r="A3" s="4" t="s">
        <v>21</v>
      </c>
      <c r="B3" s="8">
        <f t="shared" ref="B3:B35" si="2">SUM(C3:K3)</f>
        <v>34</v>
      </c>
      <c r="C3" s="4">
        <v>3.0</v>
      </c>
      <c r="D3" s="4">
        <v>4.0</v>
      </c>
      <c r="E3" s="4">
        <v>3.0</v>
      </c>
      <c r="F3" s="4">
        <v>4.0</v>
      </c>
      <c r="G3" s="4">
        <v>4.0</v>
      </c>
      <c r="H3" s="4">
        <v>4.0</v>
      </c>
      <c r="I3" s="4">
        <v>8.0</v>
      </c>
      <c r="J3" s="4">
        <v>3.0</v>
      </c>
      <c r="K3" s="4">
        <v>1.0</v>
      </c>
    </row>
    <row r="4">
      <c r="A4" s="4" t="s">
        <v>18</v>
      </c>
      <c r="B4" s="8">
        <f t="shared" si="2"/>
        <v>30</v>
      </c>
      <c r="C4" s="4">
        <v>4.0</v>
      </c>
      <c r="D4" s="4">
        <v>2.0</v>
      </c>
      <c r="E4" s="4">
        <v>3.0</v>
      </c>
      <c r="F4" s="4">
        <v>3.0</v>
      </c>
      <c r="G4" s="4">
        <v>2.0</v>
      </c>
      <c r="H4" s="4">
        <v>0.0</v>
      </c>
      <c r="I4" s="4">
        <v>4.0</v>
      </c>
      <c r="J4" s="4">
        <v>11.0</v>
      </c>
      <c r="K4" s="4">
        <v>1.0</v>
      </c>
    </row>
    <row r="5">
      <c r="A5" s="4" t="s">
        <v>19</v>
      </c>
      <c r="B5" s="8">
        <f t="shared" si="2"/>
        <v>20</v>
      </c>
      <c r="C5" s="4"/>
      <c r="D5" s="4">
        <v>1.0</v>
      </c>
      <c r="E5" s="4">
        <v>2.0</v>
      </c>
      <c r="F5" s="4">
        <v>0.0</v>
      </c>
      <c r="G5" s="4">
        <v>1.0</v>
      </c>
      <c r="H5" s="4">
        <v>0.0</v>
      </c>
      <c r="I5" s="4">
        <v>1.0</v>
      </c>
      <c r="J5" s="4">
        <v>12.0</v>
      </c>
      <c r="K5" s="4">
        <v>3.0</v>
      </c>
    </row>
    <row r="6">
      <c r="A6" s="4" t="s">
        <v>20</v>
      </c>
      <c r="B6" s="8">
        <f t="shared" si="2"/>
        <v>24</v>
      </c>
      <c r="C6" s="4">
        <v>4.0</v>
      </c>
      <c r="D6" s="4">
        <v>2.0</v>
      </c>
      <c r="E6" s="4">
        <v>3.0</v>
      </c>
      <c r="F6" s="4">
        <v>1.0</v>
      </c>
      <c r="G6" s="4">
        <v>1.0</v>
      </c>
      <c r="H6" s="4">
        <v>4.0</v>
      </c>
      <c r="I6" s="4">
        <v>1.0</v>
      </c>
      <c r="J6" s="4">
        <v>6.0</v>
      </c>
      <c r="K6" s="4">
        <v>2.0</v>
      </c>
    </row>
    <row r="7">
      <c r="A7" s="4" t="s">
        <v>22</v>
      </c>
      <c r="B7" s="8">
        <f t="shared" si="2"/>
        <v>20</v>
      </c>
      <c r="C7" s="4">
        <v>1.0</v>
      </c>
      <c r="D7" s="4">
        <v>0.0</v>
      </c>
      <c r="E7" s="4">
        <v>3.0</v>
      </c>
      <c r="F7" s="4">
        <v>2.0</v>
      </c>
      <c r="G7" s="4">
        <v>2.0</v>
      </c>
      <c r="H7" s="4">
        <v>1.0</v>
      </c>
      <c r="I7" s="4">
        <v>1.0</v>
      </c>
      <c r="J7" s="4">
        <v>8.0</v>
      </c>
      <c r="K7" s="4">
        <v>2.0</v>
      </c>
    </row>
    <row r="8">
      <c r="A8" s="4" t="s">
        <v>23</v>
      </c>
      <c r="B8" s="8">
        <f t="shared" si="2"/>
        <v>21</v>
      </c>
      <c r="C8" s="4">
        <v>3.0</v>
      </c>
      <c r="D8" s="4">
        <v>0.0</v>
      </c>
      <c r="E8" s="4">
        <v>1.0</v>
      </c>
      <c r="F8" s="4">
        <v>4.0</v>
      </c>
      <c r="G8" s="4">
        <v>3.0</v>
      </c>
      <c r="H8" s="4">
        <v>2.0</v>
      </c>
      <c r="I8" s="4">
        <v>3.0</v>
      </c>
      <c r="J8" s="4">
        <v>3.0</v>
      </c>
      <c r="K8" s="4">
        <v>2.0</v>
      </c>
    </row>
    <row r="9">
      <c r="A9" s="4" t="s">
        <v>25</v>
      </c>
      <c r="B9" s="8">
        <f t="shared" si="2"/>
        <v>13</v>
      </c>
      <c r="C9" s="4">
        <v>2.0</v>
      </c>
      <c r="D9" s="4">
        <v>1.0</v>
      </c>
      <c r="E9" s="4">
        <v>0.0</v>
      </c>
      <c r="F9" s="4">
        <v>2.0</v>
      </c>
      <c r="G9" s="4">
        <v>1.0</v>
      </c>
      <c r="H9" s="4">
        <v>1.0</v>
      </c>
      <c r="I9" s="4">
        <v>1.0</v>
      </c>
      <c r="J9" s="4">
        <v>3.0</v>
      </c>
      <c r="K9" s="4">
        <v>2.0</v>
      </c>
    </row>
    <row r="10">
      <c r="A10" s="4" t="s">
        <v>24</v>
      </c>
      <c r="B10" s="8">
        <f t="shared" si="2"/>
        <v>13</v>
      </c>
      <c r="C10" s="4">
        <v>3.0</v>
      </c>
      <c r="D10" s="4">
        <v>2.0</v>
      </c>
      <c r="E10" s="4">
        <v>1.0</v>
      </c>
      <c r="F10" s="4">
        <v>2.0</v>
      </c>
      <c r="G10" s="4">
        <v>1.0</v>
      </c>
      <c r="H10" s="4">
        <v>4.0</v>
      </c>
      <c r="I10" s="4">
        <v>0.0</v>
      </c>
      <c r="J10" s="4">
        <v>0.0</v>
      </c>
      <c r="K10" s="4">
        <v>0.0</v>
      </c>
    </row>
    <row r="11">
      <c r="A11" s="4" t="s">
        <v>27</v>
      </c>
      <c r="B11" s="8">
        <f t="shared" si="2"/>
        <v>12</v>
      </c>
      <c r="C11" s="4">
        <v>3.0</v>
      </c>
      <c r="D11" s="4">
        <v>0.0</v>
      </c>
      <c r="E11" s="4">
        <v>1.0</v>
      </c>
      <c r="F11" s="4">
        <v>2.0</v>
      </c>
      <c r="G11" s="4">
        <v>1.0</v>
      </c>
      <c r="H11" s="4">
        <v>1.0</v>
      </c>
      <c r="I11" s="4">
        <v>1.0</v>
      </c>
      <c r="J11" s="4">
        <v>2.0</v>
      </c>
      <c r="K11" s="4">
        <v>1.0</v>
      </c>
    </row>
    <row r="12">
      <c r="A12" s="4" t="s">
        <v>26</v>
      </c>
      <c r="B12" s="8">
        <f t="shared" si="2"/>
        <v>11</v>
      </c>
      <c r="C12" s="4">
        <v>3.0</v>
      </c>
      <c r="D12" s="4">
        <v>1.0</v>
      </c>
      <c r="E12" s="4">
        <v>0.0</v>
      </c>
      <c r="F12" s="4">
        <v>0.0</v>
      </c>
      <c r="G12" s="4">
        <v>1.0</v>
      </c>
      <c r="H12" s="4">
        <v>3.0</v>
      </c>
      <c r="I12" s="4">
        <v>1.0</v>
      </c>
      <c r="J12" s="4">
        <v>2.0</v>
      </c>
      <c r="K12" s="4">
        <v>0.0</v>
      </c>
    </row>
    <row r="13">
      <c r="A13" s="4" t="s">
        <v>29</v>
      </c>
      <c r="B13" s="8">
        <f t="shared" si="2"/>
        <v>9</v>
      </c>
      <c r="C13" s="4">
        <v>1.0</v>
      </c>
      <c r="D13" s="4">
        <v>2.0</v>
      </c>
      <c r="E13" s="4">
        <v>1.0</v>
      </c>
      <c r="F13" s="4">
        <v>1.0</v>
      </c>
      <c r="G13" s="4">
        <v>2.0</v>
      </c>
      <c r="H13" s="4">
        <v>0.0</v>
      </c>
      <c r="I13" s="4">
        <v>1.0</v>
      </c>
      <c r="J13" s="4">
        <v>1.0</v>
      </c>
      <c r="K13" s="4">
        <v>0.0</v>
      </c>
    </row>
    <row r="14">
      <c r="A14" s="4" t="s">
        <v>28</v>
      </c>
      <c r="B14" s="8">
        <f t="shared" si="2"/>
        <v>8</v>
      </c>
      <c r="C14" s="4">
        <v>1.0</v>
      </c>
      <c r="D14" s="4">
        <v>0.0</v>
      </c>
      <c r="E14" s="4">
        <v>1.0</v>
      </c>
      <c r="F14" s="4">
        <v>1.0</v>
      </c>
      <c r="G14" s="4">
        <v>0.0</v>
      </c>
      <c r="H14" s="4">
        <v>0.0</v>
      </c>
      <c r="I14" s="4">
        <v>2.0</v>
      </c>
      <c r="J14" s="4">
        <v>3.0</v>
      </c>
      <c r="K14" s="4">
        <v>0.0</v>
      </c>
    </row>
    <row r="15">
      <c r="A15" s="4" t="s">
        <v>30</v>
      </c>
      <c r="B15" s="8">
        <f t="shared" si="2"/>
        <v>7</v>
      </c>
      <c r="C15" s="4"/>
      <c r="D15" s="4">
        <v>2.0</v>
      </c>
      <c r="E15" s="4">
        <v>0.0</v>
      </c>
      <c r="F15" s="4">
        <v>1.0</v>
      </c>
      <c r="G15" s="4">
        <v>0.0</v>
      </c>
      <c r="H15" s="4">
        <v>1.0</v>
      </c>
      <c r="I15" s="4">
        <v>1.0</v>
      </c>
      <c r="J15" s="4">
        <v>2.0</v>
      </c>
      <c r="K15" s="4">
        <v>0.0</v>
      </c>
    </row>
    <row r="16">
      <c r="A16" s="4" t="s">
        <v>31</v>
      </c>
      <c r="B16" s="8">
        <f t="shared" si="2"/>
        <v>6</v>
      </c>
      <c r="C16" s="4"/>
      <c r="D16" s="4">
        <v>1.0</v>
      </c>
      <c r="E16" s="4">
        <v>1.0</v>
      </c>
      <c r="F16" s="4">
        <v>0.0</v>
      </c>
      <c r="G16" s="4">
        <v>1.0</v>
      </c>
      <c r="H16" s="4">
        <v>0.0</v>
      </c>
      <c r="I16" s="4">
        <v>0.0</v>
      </c>
      <c r="J16" s="4">
        <v>2.0</v>
      </c>
      <c r="K16" s="4">
        <v>1.0</v>
      </c>
    </row>
    <row r="17">
      <c r="A17" s="4" t="s">
        <v>34</v>
      </c>
      <c r="B17" s="8">
        <f t="shared" si="2"/>
        <v>7</v>
      </c>
      <c r="C17" s="4">
        <v>2.0</v>
      </c>
      <c r="D17" s="4">
        <v>0.0</v>
      </c>
      <c r="E17" s="4">
        <v>1.0</v>
      </c>
      <c r="F17" s="4">
        <v>0.0</v>
      </c>
      <c r="G17" s="4">
        <v>1.0</v>
      </c>
      <c r="H17" s="4">
        <v>1.0</v>
      </c>
      <c r="I17" s="4">
        <v>0.0</v>
      </c>
      <c r="J17" s="4">
        <v>2.0</v>
      </c>
      <c r="K17" s="4">
        <v>0.0</v>
      </c>
    </row>
    <row r="18">
      <c r="A18" s="4" t="s">
        <v>32</v>
      </c>
      <c r="B18" s="8">
        <f t="shared" si="2"/>
        <v>4</v>
      </c>
      <c r="C18" s="4"/>
      <c r="D18" s="4">
        <v>0.0</v>
      </c>
      <c r="E18" s="4">
        <v>0.0</v>
      </c>
      <c r="F18" s="4">
        <v>0.0</v>
      </c>
      <c r="G18" s="4">
        <v>0.0</v>
      </c>
      <c r="H18" s="4">
        <v>1.0</v>
      </c>
      <c r="I18" s="4">
        <v>2.0</v>
      </c>
      <c r="J18" s="4">
        <v>1.0</v>
      </c>
      <c r="K18" s="4">
        <v>0.0</v>
      </c>
    </row>
    <row r="19">
      <c r="A19" s="4" t="s">
        <v>33</v>
      </c>
      <c r="B19" s="8">
        <f t="shared" si="2"/>
        <v>3</v>
      </c>
      <c r="C19" s="4"/>
      <c r="D19" s="4">
        <v>0.0</v>
      </c>
      <c r="E19" s="4">
        <v>0.0</v>
      </c>
      <c r="F19" s="4">
        <v>0.0</v>
      </c>
      <c r="G19" s="4">
        <v>0.0</v>
      </c>
      <c r="H19" s="4">
        <v>0.0</v>
      </c>
      <c r="I19" s="4">
        <v>0.0</v>
      </c>
      <c r="J19" s="4">
        <v>0.0</v>
      </c>
      <c r="K19" s="4">
        <v>3.0</v>
      </c>
    </row>
    <row r="20">
      <c r="A20" s="4" t="s">
        <v>35</v>
      </c>
      <c r="B20" s="8">
        <f t="shared" si="2"/>
        <v>5</v>
      </c>
      <c r="C20" s="4">
        <v>2.0</v>
      </c>
      <c r="D20" s="4">
        <v>0.0</v>
      </c>
      <c r="E20" s="4">
        <v>1.0</v>
      </c>
      <c r="F20" s="4">
        <v>0.0</v>
      </c>
      <c r="G20" s="4">
        <v>0.0</v>
      </c>
      <c r="H20" s="4">
        <v>0.0</v>
      </c>
      <c r="I20" s="4">
        <v>0.0</v>
      </c>
      <c r="J20" s="4">
        <v>1.0</v>
      </c>
      <c r="K20" s="4">
        <v>1.0</v>
      </c>
    </row>
    <row r="21">
      <c r="A21" s="4" t="s">
        <v>36</v>
      </c>
      <c r="B21" s="8">
        <f t="shared" si="2"/>
        <v>4</v>
      </c>
      <c r="C21" s="4">
        <v>1.0</v>
      </c>
      <c r="D21" s="4">
        <v>1.0</v>
      </c>
      <c r="E21" s="4">
        <v>0.0</v>
      </c>
      <c r="F21" s="4">
        <v>0.0</v>
      </c>
      <c r="G21" s="4">
        <v>0.0</v>
      </c>
      <c r="H21" s="4">
        <v>1.0</v>
      </c>
      <c r="I21" s="4">
        <v>1.0</v>
      </c>
      <c r="J21" s="4">
        <v>0.0</v>
      </c>
      <c r="K21" s="4">
        <v>0.0</v>
      </c>
    </row>
    <row r="22">
      <c r="A22" s="4" t="s">
        <v>38</v>
      </c>
      <c r="B22" s="8">
        <f t="shared" si="2"/>
        <v>2</v>
      </c>
      <c r="C22" s="4"/>
      <c r="D22" s="4">
        <v>0.0</v>
      </c>
      <c r="E22" s="4">
        <v>0.0</v>
      </c>
      <c r="F22" s="4">
        <v>0.0</v>
      </c>
      <c r="G22" s="4">
        <v>0.0</v>
      </c>
      <c r="H22" s="4">
        <v>1.0</v>
      </c>
      <c r="I22" s="4">
        <v>0.0</v>
      </c>
      <c r="J22" s="4">
        <v>1.0</v>
      </c>
      <c r="K22" s="4">
        <v>0.0</v>
      </c>
    </row>
    <row r="23">
      <c r="A23" s="4" t="s">
        <v>37</v>
      </c>
      <c r="B23" s="8">
        <f t="shared" si="2"/>
        <v>3</v>
      </c>
      <c r="C23" s="4">
        <v>1.0</v>
      </c>
      <c r="D23" s="4">
        <v>0.0</v>
      </c>
      <c r="E23" s="4">
        <v>0.0</v>
      </c>
      <c r="F23" s="4">
        <v>0.0</v>
      </c>
      <c r="G23" s="4">
        <v>0.0</v>
      </c>
      <c r="H23" s="4">
        <v>1.0</v>
      </c>
      <c r="I23" s="4">
        <v>0.0</v>
      </c>
      <c r="J23" s="4">
        <v>1.0</v>
      </c>
      <c r="K23" s="4">
        <v>0.0</v>
      </c>
    </row>
    <row r="24">
      <c r="A24" s="4" t="s">
        <v>39</v>
      </c>
      <c r="B24" s="8">
        <f t="shared" si="2"/>
        <v>2</v>
      </c>
      <c r="C24" s="4"/>
      <c r="D24" s="4">
        <v>1.0</v>
      </c>
      <c r="E24" s="4">
        <v>0.0</v>
      </c>
      <c r="F24" s="4">
        <v>0.0</v>
      </c>
      <c r="G24" s="4">
        <v>0.0</v>
      </c>
      <c r="H24" s="4">
        <v>1.0</v>
      </c>
      <c r="I24" s="4">
        <v>0.0</v>
      </c>
      <c r="J24" s="4">
        <v>0.0</v>
      </c>
      <c r="K24" s="4">
        <v>0.0</v>
      </c>
    </row>
    <row r="25">
      <c r="A25" s="4" t="s">
        <v>40</v>
      </c>
      <c r="B25" s="8">
        <f t="shared" si="2"/>
        <v>2</v>
      </c>
      <c r="C25" s="4"/>
      <c r="D25" s="4">
        <v>1.0</v>
      </c>
      <c r="E25" s="4">
        <v>0.0</v>
      </c>
      <c r="F25" s="4">
        <v>0.0</v>
      </c>
      <c r="G25" s="4">
        <v>1.0</v>
      </c>
      <c r="H25" s="4">
        <v>0.0</v>
      </c>
      <c r="I25" s="4">
        <v>0.0</v>
      </c>
      <c r="J25" s="4">
        <v>0.0</v>
      </c>
      <c r="K25" s="4">
        <v>0.0</v>
      </c>
    </row>
    <row r="26">
      <c r="A26" s="4" t="s">
        <v>46</v>
      </c>
      <c r="B26" s="8">
        <f t="shared" si="2"/>
        <v>1</v>
      </c>
      <c r="C26" s="4"/>
      <c r="D26" s="4">
        <v>0.0</v>
      </c>
      <c r="E26" s="4">
        <v>0.0</v>
      </c>
      <c r="F26" s="4">
        <v>0.0</v>
      </c>
      <c r="G26" s="4">
        <v>0.0</v>
      </c>
      <c r="H26" s="4">
        <v>0.0</v>
      </c>
      <c r="I26" s="4">
        <v>0.0</v>
      </c>
      <c r="J26" s="4">
        <v>1.0</v>
      </c>
      <c r="K26" s="4">
        <v>0.0</v>
      </c>
    </row>
    <row r="27">
      <c r="A27" s="4" t="s">
        <v>42</v>
      </c>
      <c r="B27" s="8">
        <f t="shared" si="2"/>
        <v>2</v>
      </c>
      <c r="C27" s="4">
        <v>1.0</v>
      </c>
      <c r="D27" s="4">
        <v>0.0</v>
      </c>
      <c r="E27" s="4">
        <v>0.0</v>
      </c>
      <c r="F27" s="4">
        <v>0.0</v>
      </c>
      <c r="G27" s="4">
        <v>0.0</v>
      </c>
      <c r="H27" s="4">
        <v>0.0</v>
      </c>
      <c r="I27" s="4">
        <v>0.0</v>
      </c>
      <c r="J27" s="4">
        <v>1.0</v>
      </c>
      <c r="K27" s="4">
        <v>0.0</v>
      </c>
    </row>
    <row r="28">
      <c r="A28" s="4" t="s">
        <v>45</v>
      </c>
      <c r="B28" s="8">
        <f t="shared" si="2"/>
        <v>1</v>
      </c>
      <c r="C28" s="4"/>
      <c r="D28" s="4">
        <v>0.0</v>
      </c>
      <c r="E28" s="4">
        <v>0.0</v>
      </c>
      <c r="F28" s="4">
        <v>0.0</v>
      </c>
      <c r="G28" s="4">
        <v>0.0</v>
      </c>
      <c r="H28" s="4">
        <v>0.0</v>
      </c>
      <c r="I28" s="4">
        <v>0.0</v>
      </c>
      <c r="J28" s="4">
        <v>1.0</v>
      </c>
      <c r="K28" s="4">
        <v>0.0</v>
      </c>
    </row>
    <row r="29">
      <c r="A29" s="4" t="s">
        <v>41</v>
      </c>
      <c r="B29" s="8">
        <f t="shared" si="2"/>
        <v>1</v>
      </c>
      <c r="C29" s="4"/>
      <c r="D29" s="4">
        <v>0.0</v>
      </c>
      <c r="E29" s="4">
        <v>0.0</v>
      </c>
      <c r="F29" s="4">
        <v>0.0</v>
      </c>
      <c r="G29" s="4">
        <v>0.0</v>
      </c>
      <c r="H29" s="4">
        <v>1.0</v>
      </c>
      <c r="I29" s="4">
        <v>0.0</v>
      </c>
      <c r="J29" s="4">
        <v>0.0</v>
      </c>
      <c r="K29" s="4">
        <v>0.0</v>
      </c>
    </row>
    <row r="30">
      <c r="A30" s="4" t="s">
        <v>43</v>
      </c>
      <c r="B30" s="8">
        <f t="shared" si="2"/>
        <v>1</v>
      </c>
      <c r="C30" s="4"/>
      <c r="D30" s="4">
        <v>0.0</v>
      </c>
      <c r="E30" s="4">
        <v>0.0</v>
      </c>
      <c r="F30" s="4">
        <v>0.0</v>
      </c>
      <c r="G30" s="4">
        <v>1.0</v>
      </c>
      <c r="H30" s="4">
        <v>0.0</v>
      </c>
      <c r="I30" s="4">
        <v>0.0</v>
      </c>
      <c r="J30" s="4">
        <v>0.0</v>
      </c>
      <c r="K30" s="4">
        <v>0.0</v>
      </c>
    </row>
    <row r="31">
      <c r="A31" s="4" t="s">
        <v>44</v>
      </c>
      <c r="B31" s="8">
        <f t="shared" si="2"/>
        <v>1</v>
      </c>
      <c r="C31" s="4"/>
      <c r="D31" s="4">
        <v>1.0</v>
      </c>
      <c r="E31" s="4">
        <v>0.0</v>
      </c>
      <c r="F31" s="4">
        <v>0.0</v>
      </c>
      <c r="G31" s="4">
        <v>0.0</v>
      </c>
      <c r="H31" s="4">
        <v>0.0</v>
      </c>
      <c r="I31" s="4">
        <v>0.0</v>
      </c>
      <c r="J31" s="4">
        <v>0.0</v>
      </c>
      <c r="K31" s="4">
        <v>0.0</v>
      </c>
    </row>
    <row r="32">
      <c r="A32" s="4" t="s">
        <v>48</v>
      </c>
      <c r="B32" s="8">
        <f t="shared" si="2"/>
        <v>0</v>
      </c>
      <c r="C32" s="4"/>
      <c r="D32" s="4">
        <v>0.0</v>
      </c>
      <c r="E32" s="4">
        <v>0.0</v>
      </c>
      <c r="F32" s="4">
        <v>0.0</v>
      </c>
      <c r="G32" s="4">
        <v>0.0</v>
      </c>
      <c r="H32" s="4">
        <v>0.0</v>
      </c>
      <c r="I32" s="4">
        <v>0.0</v>
      </c>
      <c r="J32" s="4">
        <v>0.0</v>
      </c>
      <c r="K32" s="4">
        <v>0.0</v>
      </c>
    </row>
    <row r="33">
      <c r="A33" s="4" t="s">
        <v>49</v>
      </c>
      <c r="B33" s="8">
        <f t="shared" si="2"/>
        <v>0</v>
      </c>
      <c r="C33" s="4"/>
      <c r="D33" s="4">
        <v>0.0</v>
      </c>
      <c r="E33" s="4">
        <v>0.0</v>
      </c>
      <c r="F33" s="4">
        <v>0.0</v>
      </c>
      <c r="G33" s="4">
        <v>0.0</v>
      </c>
      <c r="H33" s="4">
        <v>0.0</v>
      </c>
      <c r="I33" s="4">
        <v>0.0</v>
      </c>
      <c r="J33" s="4">
        <v>0.0</v>
      </c>
      <c r="K33" s="4">
        <v>0.0</v>
      </c>
    </row>
    <row r="34">
      <c r="A34" s="4" t="s">
        <v>50</v>
      </c>
      <c r="B34" s="8">
        <f t="shared" si="2"/>
        <v>0</v>
      </c>
      <c r="C34" s="4"/>
      <c r="D34" s="4">
        <v>0.0</v>
      </c>
      <c r="E34" s="4">
        <v>0.0</v>
      </c>
      <c r="F34" s="4">
        <v>0.0</v>
      </c>
      <c r="G34" s="4">
        <v>0.0</v>
      </c>
      <c r="H34" s="4">
        <v>0.0</v>
      </c>
      <c r="I34" s="4">
        <v>0.0</v>
      </c>
      <c r="J34" s="4">
        <v>0.0</v>
      </c>
      <c r="K34" s="4">
        <v>0.0</v>
      </c>
    </row>
    <row r="35">
      <c r="A35" s="4" t="s">
        <v>47</v>
      </c>
      <c r="B35" s="8">
        <f t="shared" si="2"/>
        <v>0</v>
      </c>
      <c r="C35" s="4"/>
      <c r="D35" s="4">
        <v>0.0</v>
      </c>
      <c r="E35" s="4">
        <v>0.0</v>
      </c>
      <c r="F35" s="4">
        <v>0.0</v>
      </c>
      <c r="G35" s="4">
        <v>0.0</v>
      </c>
      <c r="H35" s="4">
        <v>0.0</v>
      </c>
      <c r="I35" s="4">
        <v>0.0</v>
      </c>
      <c r="J35" s="4">
        <v>0.0</v>
      </c>
      <c r="K35" s="4">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7.0" topLeftCell="D8" activePane="bottomRight" state="frozen"/>
      <selection activeCell="D1" sqref="D1" pane="topRight"/>
      <selection activeCell="A8" sqref="A8" pane="bottomLeft"/>
      <selection activeCell="D8" sqref="D8" pane="bottomRight"/>
    </sheetView>
  </sheetViews>
  <sheetFormatPr customHeight="1" defaultColWidth="12.63" defaultRowHeight="15.75"/>
  <cols>
    <col customWidth="1" min="1" max="1" width="6.5"/>
    <col customWidth="1" min="2" max="2" width="13.0"/>
    <col customWidth="1" min="3" max="3" width="23.0"/>
    <col customWidth="1" min="4" max="4" width="6.13"/>
    <col customWidth="1" min="5" max="5" width="6.0"/>
    <col customWidth="1" min="6" max="6" width="5.88"/>
    <col customWidth="1" min="7" max="7" width="5.5"/>
    <col customWidth="1" min="8" max="8" width="5.75"/>
    <col customWidth="1" min="9" max="9" width="4.75"/>
    <col customWidth="1" min="10" max="10" width="4.13"/>
    <col customWidth="1" min="11" max="11" width="5.88"/>
    <col customWidth="1" min="12" max="12" width="3.88"/>
    <col customWidth="1" min="13" max="13" width="7.63"/>
    <col customWidth="1" min="14" max="14" width="4.88"/>
    <col customWidth="1" min="15" max="16" width="6.0"/>
    <col customWidth="1" min="17" max="17" width="7.13"/>
    <col customWidth="1" min="18" max="18" width="6.5"/>
    <col customWidth="1" min="19" max="19" width="5.88"/>
    <col customWidth="1" min="20" max="20" width="4.0"/>
    <col customWidth="1" min="21" max="21" width="7.25"/>
    <col customWidth="1" min="22" max="22" width="7.5"/>
    <col customWidth="1" min="23" max="23" width="6.13"/>
    <col customWidth="1" min="24" max="24" width="6.0"/>
    <col customWidth="1" min="25" max="25" width="6.38"/>
    <col customWidth="1" min="26" max="26" width="4.88"/>
    <col customWidth="1" min="27" max="27" width="7.38"/>
    <col customWidth="1" min="28" max="28" width="3.88"/>
    <col customWidth="1" min="29" max="29" width="6.38"/>
    <col customWidth="1" min="30" max="31" width="6.63"/>
    <col customWidth="1" min="32" max="32" width="5.63"/>
    <col customWidth="1" min="33" max="33" width="6.0"/>
    <col customWidth="1" min="34" max="34" width="4.0"/>
    <col customWidth="1" min="35" max="35" width="6.5"/>
    <col customWidth="1" min="36" max="36" width="6.13"/>
  </cols>
  <sheetData>
    <row r="1">
      <c r="A1" s="9" t="s">
        <v>53</v>
      </c>
      <c r="B1" s="9" t="s">
        <v>54</v>
      </c>
      <c r="C1" s="10">
        <f>SUM(D8:AJ1620)</f>
        <v>267</v>
      </c>
      <c r="D1" s="4" t="s">
        <v>23</v>
      </c>
      <c r="E1" s="4" t="s">
        <v>24</v>
      </c>
      <c r="F1" s="4" t="s">
        <v>19</v>
      </c>
      <c r="G1" s="4" t="s">
        <v>28</v>
      </c>
      <c r="H1" s="4" t="s">
        <v>21</v>
      </c>
      <c r="I1" s="4" t="s">
        <v>18</v>
      </c>
      <c r="J1" s="4" t="s">
        <v>26</v>
      </c>
      <c r="K1" s="4" t="s">
        <v>20</v>
      </c>
      <c r="L1" s="4" t="s">
        <v>25</v>
      </c>
      <c r="M1" s="4" t="s">
        <v>22</v>
      </c>
      <c r="N1" s="4" t="s">
        <v>32</v>
      </c>
      <c r="O1" s="4" t="s">
        <v>31</v>
      </c>
      <c r="P1" s="4" t="s">
        <v>30</v>
      </c>
      <c r="Q1" s="4" t="s">
        <v>35</v>
      </c>
      <c r="R1" s="4" t="s">
        <v>46</v>
      </c>
      <c r="S1" s="4" t="s">
        <v>34</v>
      </c>
      <c r="T1" s="4" t="s">
        <v>43</v>
      </c>
      <c r="U1" s="4" t="s">
        <v>29</v>
      </c>
      <c r="V1" s="4" t="s">
        <v>39</v>
      </c>
      <c r="W1" s="4" t="s">
        <v>33</v>
      </c>
      <c r="X1" s="4" t="s">
        <v>38</v>
      </c>
      <c r="Y1" s="4" t="s">
        <v>40</v>
      </c>
      <c r="Z1" s="4" t="s">
        <v>37</v>
      </c>
      <c r="AA1" s="4" t="s">
        <v>44</v>
      </c>
      <c r="AB1" s="4" t="s">
        <v>42</v>
      </c>
      <c r="AC1" s="4" t="s">
        <v>45</v>
      </c>
      <c r="AD1" s="4" t="s">
        <v>36</v>
      </c>
      <c r="AE1" s="4" t="s">
        <v>48</v>
      </c>
      <c r="AF1" s="4" t="s">
        <v>41</v>
      </c>
      <c r="AG1" s="4" t="s">
        <v>49</v>
      </c>
      <c r="AH1" s="4" t="s">
        <v>50</v>
      </c>
      <c r="AI1" s="4" t="s">
        <v>47</v>
      </c>
      <c r="AJ1" s="4" t="s">
        <v>27</v>
      </c>
    </row>
    <row r="2">
      <c r="A2" s="11"/>
      <c r="B2" s="11"/>
      <c r="C2" s="11" t="s">
        <v>55</v>
      </c>
      <c r="D2" s="4">
        <v>8.0</v>
      </c>
      <c r="E2" s="4">
        <v>12.0</v>
      </c>
      <c r="F2" s="4">
        <v>9.0</v>
      </c>
      <c r="G2" s="4">
        <v>5.0</v>
      </c>
      <c r="H2" s="4">
        <v>0.0</v>
      </c>
      <c r="I2" s="4">
        <v>13.0</v>
      </c>
      <c r="J2" s="4">
        <v>11.0</v>
      </c>
      <c r="K2" s="4">
        <v>16.0</v>
      </c>
      <c r="L2" s="4">
        <v>6.0</v>
      </c>
      <c r="M2" s="4">
        <v>9.0</v>
      </c>
      <c r="N2" s="4">
        <v>4.0</v>
      </c>
      <c r="O2" s="4">
        <v>0.0</v>
      </c>
      <c r="P2" s="4">
        <v>0.0</v>
      </c>
      <c r="Q2" s="4">
        <v>6.0</v>
      </c>
      <c r="R2" s="4">
        <v>0.0</v>
      </c>
      <c r="S2" s="4">
        <v>2.0</v>
      </c>
      <c r="T2" s="4">
        <v>0.0</v>
      </c>
      <c r="U2" s="4">
        <v>0.0</v>
      </c>
      <c r="V2" s="4">
        <v>1.0</v>
      </c>
      <c r="W2" s="4">
        <v>2.0</v>
      </c>
      <c r="X2" s="4">
        <v>4.0</v>
      </c>
      <c r="Y2" s="4">
        <v>0.0</v>
      </c>
      <c r="Z2" s="4">
        <v>5.0</v>
      </c>
      <c r="AA2" s="4">
        <v>1.0</v>
      </c>
      <c r="AB2" s="4">
        <v>2.0</v>
      </c>
      <c r="AC2" s="4">
        <v>1.0</v>
      </c>
      <c r="AD2" s="4">
        <v>1.0</v>
      </c>
      <c r="AE2" s="4">
        <v>0.0</v>
      </c>
      <c r="AF2" s="4">
        <v>3.0</v>
      </c>
      <c r="AG2" s="4">
        <v>0.0</v>
      </c>
      <c r="AH2" s="4">
        <v>0.0</v>
      </c>
      <c r="AI2" s="4">
        <v>0.0</v>
      </c>
      <c r="AJ2" s="4">
        <v>2.0</v>
      </c>
    </row>
    <row r="3">
      <c r="A3" s="3"/>
      <c r="B3" s="3"/>
      <c r="C3" s="3" t="s">
        <v>56</v>
      </c>
      <c r="D3" s="4">
        <v>3.0</v>
      </c>
      <c r="E3" s="4">
        <v>4.0</v>
      </c>
      <c r="F3" s="4">
        <v>17.0</v>
      </c>
      <c r="G3" s="4">
        <v>3.0</v>
      </c>
      <c r="H3" s="4">
        <v>5.0</v>
      </c>
      <c r="I3" s="4">
        <v>11.0</v>
      </c>
      <c r="J3" s="4">
        <v>3.0</v>
      </c>
      <c r="K3" s="4">
        <v>7.0</v>
      </c>
      <c r="L3" s="4">
        <v>5.0</v>
      </c>
      <c r="M3" s="4">
        <v>11.0</v>
      </c>
      <c r="N3" s="4">
        <v>3.0</v>
      </c>
      <c r="O3" s="4">
        <v>4.0</v>
      </c>
      <c r="P3" s="4">
        <v>2.0</v>
      </c>
      <c r="Q3" s="4">
        <v>3.0</v>
      </c>
      <c r="R3" s="4">
        <v>2.0</v>
      </c>
      <c r="S3" s="4">
        <v>3.0</v>
      </c>
      <c r="T3" s="4">
        <v>2.0</v>
      </c>
      <c r="U3" s="4">
        <v>3.0</v>
      </c>
      <c r="V3" s="4">
        <v>4.0</v>
      </c>
      <c r="W3" s="4">
        <v>2.0</v>
      </c>
      <c r="X3" s="4">
        <v>2.0</v>
      </c>
      <c r="Y3" s="4">
        <v>3.0</v>
      </c>
      <c r="Z3" s="4">
        <v>3.0</v>
      </c>
      <c r="AA3" s="4">
        <v>2.0</v>
      </c>
      <c r="AB3" s="4">
        <v>2.0</v>
      </c>
      <c r="AC3" s="4">
        <v>2.0</v>
      </c>
      <c r="AD3" s="4">
        <v>4.0</v>
      </c>
      <c r="AE3" s="4">
        <v>0.0</v>
      </c>
      <c r="AF3" s="4">
        <v>2.0</v>
      </c>
      <c r="AG3" s="4">
        <v>0.0</v>
      </c>
      <c r="AH3" s="4">
        <v>0.0</v>
      </c>
      <c r="AI3" s="4">
        <v>0.0</v>
      </c>
      <c r="AJ3" s="4">
        <v>4.0</v>
      </c>
    </row>
    <row r="4">
      <c r="A4" s="3"/>
      <c r="B4" s="3"/>
      <c r="C4" s="3" t="s">
        <v>57</v>
      </c>
      <c r="D4" s="4">
        <v>15.0</v>
      </c>
      <c r="E4" s="4">
        <v>11.0</v>
      </c>
      <c r="F4" s="4">
        <v>14.0</v>
      </c>
      <c r="G4" s="4">
        <v>5.0</v>
      </c>
      <c r="H4" s="4">
        <v>1.0</v>
      </c>
      <c r="I4" s="4">
        <v>14.0</v>
      </c>
      <c r="J4" s="4">
        <v>11.0</v>
      </c>
      <c r="K4" s="4">
        <v>13.0</v>
      </c>
      <c r="L4" s="4">
        <v>7.0</v>
      </c>
      <c r="M4" s="4">
        <v>12.0</v>
      </c>
      <c r="N4" s="4">
        <v>1.0</v>
      </c>
      <c r="O4" s="4">
        <v>5.0</v>
      </c>
      <c r="P4" s="4">
        <v>3.0</v>
      </c>
      <c r="Q4" s="4">
        <v>4.0</v>
      </c>
      <c r="R4" s="4">
        <v>1.0</v>
      </c>
      <c r="S4" s="4">
        <v>4.0</v>
      </c>
      <c r="T4" s="4">
        <v>1.0</v>
      </c>
      <c r="U4" s="4">
        <v>2.0</v>
      </c>
      <c r="V4" s="4">
        <v>1.0</v>
      </c>
      <c r="W4" s="4">
        <v>0.0</v>
      </c>
      <c r="X4" s="4">
        <v>1.0</v>
      </c>
      <c r="Y4" s="4">
        <v>0.0</v>
      </c>
      <c r="Z4" s="4">
        <v>1.0</v>
      </c>
      <c r="AA4" s="4">
        <v>0.0</v>
      </c>
      <c r="AB4" s="4">
        <v>2.0</v>
      </c>
      <c r="AC4" s="4">
        <v>0.0</v>
      </c>
      <c r="AD4" s="4">
        <v>1.0</v>
      </c>
      <c r="AE4" s="4">
        <v>0.0</v>
      </c>
      <c r="AF4" s="4">
        <v>1.0</v>
      </c>
      <c r="AG4" s="4">
        <v>0.0</v>
      </c>
      <c r="AH4" s="4">
        <v>0.0</v>
      </c>
      <c r="AI4" s="4">
        <v>0.0</v>
      </c>
      <c r="AJ4" s="4">
        <v>9.0</v>
      </c>
    </row>
    <row r="5">
      <c r="A5" s="3"/>
      <c r="B5" s="3"/>
      <c r="C5" s="3" t="s">
        <v>58</v>
      </c>
      <c r="D5" s="4">
        <v>13.0</v>
      </c>
      <c r="E5" s="4">
        <v>10.0</v>
      </c>
      <c r="F5" s="4">
        <v>8.0</v>
      </c>
      <c r="G5" s="4">
        <v>6.0</v>
      </c>
      <c r="H5" s="4">
        <v>2.0</v>
      </c>
      <c r="I5" s="4">
        <v>13.0</v>
      </c>
      <c r="J5" s="4">
        <v>7.0</v>
      </c>
      <c r="K5" s="4">
        <v>13.0</v>
      </c>
      <c r="L5" s="4">
        <v>12.0</v>
      </c>
      <c r="M5" s="4">
        <v>7.0</v>
      </c>
      <c r="N5" s="4">
        <v>2.0</v>
      </c>
      <c r="O5" s="4">
        <v>5.0</v>
      </c>
      <c r="P5" s="4">
        <v>6.0</v>
      </c>
      <c r="Q5" s="4">
        <v>4.0</v>
      </c>
      <c r="R5" s="4">
        <v>1.0</v>
      </c>
      <c r="S5" s="4">
        <v>4.0</v>
      </c>
      <c r="T5" s="4">
        <v>0.0</v>
      </c>
      <c r="U5" s="4">
        <v>2.0</v>
      </c>
      <c r="V5" s="4">
        <v>1.0</v>
      </c>
      <c r="W5" s="4">
        <v>1.0</v>
      </c>
      <c r="X5" s="4">
        <v>2.0</v>
      </c>
      <c r="Y5" s="4">
        <v>1.0</v>
      </c>
      <c r="Z5" s="4">
        <v>2.0</v>
      </c>
      <c r="AA5" s="4">
        <v>0.0</v>
      </c>
      <c r="AB5" s="4">
        <v>2.0</v>
      </c>
      <c r="AC5" s="4">
        <v>1.0</v>
      </c>
      <c r="AD5" s="4">
        <v>1.0</v>
      </c>
      <c r="AE5" s="4">
        <v>0.0</v>
      </c>
      <c r="AF5" s="4">
        <v>1.0</v>
      </c>
      <c r="AG5" s="4">
        <v>0.0</v>
      </c>
      <c r="AH5" s="4">
        <v>0.0</v>
      </c>
      <c r="AI5" s="4">
        <v>0.0</v>
      </c>
      <c r="AJ5" s="4">
        <v>10.0</v>
      </c>
    </row>
    <row r="6">
      <c r="A6" s="3"/>
      <c r="B6" s="3"/>
      <c r="C6" s="3" t="s">
        <v>59</v>
      </c>
      <c r="D6" s="4">
        <v>0.0</v>
      </c>
      <c r="E6" s="4">
        <v>2.0</v>
      </c>
      <c r="F6" s="4">
        <v>18.0</v>
      </c>
      <c r="G6" s="4">
        <v>1.0</v>
      </c>
      <c r="H6" s="4">
        <v>3.0</v>
      </c>
      <c r="I6" s="4">
        <v>13.0</v>
      </c>
      <c r="J6" s="4">
        <v>3.0</v>
      </c>
      <c r="K6" s="4">
        <v>9.0</v>
      </c>
      <c r="L6" s="4">
        <v>1.0</v>
      </c>
      <c r="M6" s="4">
        <v>8.0</v>
      </c>
      <c r="N6" s="4">
        <v>1.0</v>
      </c>
      <c r="O6" s="4">
        <v>1.0</v>
      </c>
      <c r="P6" s="4">
        <v>1.0</v>
      </c>
      <c r="Q6" s="4">
        <v>1.0</v>
      </c>
      <c r="R6" s="4">
        <v>0.0</v>
      </c>
      <c r="S6" s="4">
        <v>1.0</v>
      </c>
      <c r="T6" s="4">
        <v>1.0</v>
      </c>
      <c r="U6" s="4">
        <v>2.0</v>
      </c>
      <c r="V6" s="4">
        <v>1.0</v>
      </c>
      <c r="W6" s="4">
        <v>1.0</v>
      </c>
      <c r="X6" s="4">
        <v>0.0</v>
      </c>
      <c r="Y6" s="4">
        <v>2.0</v>
      </c>
      <c r="Z6" s="4">
        <v>0.0</v>
      </c>
      <c r="AA6" s="4">
        <v>1.0</v>
      </c>
      <c r="AB6" s="4">
        <v>0.0</v>
      </c>
      <c r="AC6" s="4">
        <v>0.0</v>
      </c>
      <c r="AD6" s="4">
        <v>2.0</v>
      </c>
      <c r="AE6" s="4">
        <v>0.0</v>
      </c>
      <c r="AF6" s="4">
        <v>0.0</v>
      </c>
      <c r="AG6" s="4">
        <v>0.0</v>
      </c>
      <c r="AH6" s="4">
        <v>0.0</v>
      </c>
      <c r="AI6" s="4">
        <v>0.0</v>
      </c>
      <c r="AJ6" s="4">
        <v>5.0</v>
      </c>
    </row>
    <row r="7">
      <c r="A7" s="3"/>
      <c r="B7" s="3"/>
      <c r="C7" s="3" t="s">
        <v>60</v>
      </c>
      <c r="D7" s="4">
        <f t="shared" ref="D7:AJ7" si="1">COUNT(D8:D4620)</f>
        <v>10</v>
      </c>
      <c r="E7" s="4">
        <f t="shared" si="1"/>
        <v>12</v>
      </c>
      <c r="F7" s="4">
        <f t="shared" si="1"/>
        <v>20</v>
      </c>
      <c r="G7" s="4">
        <f t="shared" si="1"/>
        <v>7</v>
      </c>
      <c r="H7" s="4">
        <f t="shared" si="1"/>
        <v>7</v>
      </c>
      <c r="I7" s="4">
        <f t="shared" si="1"/>
        <v>17</v>
      </c>
      <c r="J7" s="4">
        <f t="shared" si="1"/>
        <v>11</v>
      </c>
      <c r="K7" s="4">
        <f t="shared" si="1"/>
        <v>18</v>
      </c>
      <c r="L7" s="4">
        <f t="shared" si="1"/>
        <v>9</v>
      </c>
      <c r="M7" s="4">
        <f t="shared" si="1"/>
        <v>17</v>
      </c>
      <c r="N7" s="4">
        <f t="shared" si="1"/>
        <v>3</v>
      </c>
      <c r="O7" s="4">
        <f t="shared" si="1"/>
        <v>4</v>
      </c>
      <c r="P7" s="4">
        <f t="shared" si="1"/>
        <v>4</v>
      </c>
      <c r="Q7" s="4">
        <f t="shared" si="1"/>
        <v>5</v>
      </c>
      <c r="R7" s="4">
        <f t="shared" si="1"/>
        <v>1</v>
      </c>
      <c r="S7" s="4">
        <f t="shared" si="1"/>
        <v>6</v>
      </c>
      <c r="T7" s="4">
        <f t="shared" si="1"/>
        <v>1</v>
      </c>
      <c r="U7" s="4">
        <f t="shared" si="1"/>
        <v>6</v>
      </c>
      <c r="V7" s="4">
        <f t="shared" si="1"/>
        <v>2</v>
      </c>
      <c r="W7" s="4">
        <f t="shared" si="1"/>
        <v>2</v>
      </c>
      <c r="X7" s="4">
        <f t="shared" si="1"/>
        <v>2</v>
      </c>
      <c r="Y7" s="4">
        <f t="shared" si="1"/>
        <v>2</v>
      </c>
      <c r="Z7" s="4">
        <f t="shared" si="1"/>
        <v>3</v>
      </c>
      <c r="AA7" s="4">
        <f t="shared" si="1"/>
        <v>1</v>
      </c>
      <c r="AB7" s="4">
        <f t="shared" si="1"/>
        <v>2</v>
      </c>
      <c r="AC7" s="4">
        <f t="shared" si="1"/>
        <v>1</v>
      </c>
      <c r="AD7" s="4">
        <f t="shared" si="1"/>
        <v>4</v>
      </c>
      <c r="AE7" s="4">
        <f t="shared" si="1"/>
        <v>0</v>
      </c>
      <c r="AF7" s="4">
        <f t="shared" si="1"/>
        <v>1</v>
      </c>
      <c r="AG7" s="4">
        <f t="shared" si="1"/>
        <v>0</v>
      </c>
      <c r="AH7" s="4">
        <f t="shared" si="1"/>
        <v>0</v>
      </c>
      <c r="AI7" s="4">
        <f t="shared" si="1"/>
        <v>0</v>
      </c>
      <c r="AJ7" s="4">
        <f t="shared" si="1"/>
        <v>6</v>
      </c>
    </row>
    <row r="8">
      <c r="A8" s="4" t="s">
        <v>61</v>
      </c>
      <c r="B8" s="4" t="s">
        <v>62</v>
      </c>
      <c r="C8" s="4" t="s">
        <v>63</v>
      </c>
    </row>
    <row r="9">
      <c r="A9" s="4" t="s">
        <v>61</v>
      </c>
      <c r="B9" s="4" t="s">
        <v>62</v>
      </c>
      <c r="C9" s="4" t="s">
        <v>64</v>
      </c>
      <c r="F9" s="4">
        <v>1.0</v>
      </c>
    </row>
    <row r="10">
      <c r="A10" s="4" t="s">
        <v>61</v>
      </c>
      <c r="B10" s="4" t="s">
        <v>62</v>
      </c>
      <c r="C10" s="4" t="s">
        <v>65</v>
      </c>
    </row>
    <row r="11">
      <c r="A11" s="4" t="s">
        <v>61</v>
      </c>
      <c r="B11" s="4" t="s">
        <v>62</v>
      </c>
      <c r="C11" s="4" t="s">
        <v>66</v>
      </c>
    </row>
    <row r="12">
      <c r="A12" s="4" t="s">
        <v>61</v>
      </c>
      <c r="B12" s="4"/>
      <c r="C12" s="4" t="s">
        <v>67</v>
      </c>
    </row>
    <row r="13">
      <c r="A13" s="4" t="s">
        <v>61</v>
      </c>
      <c r="B13" s="4"/>
      <c r="C13" s="4" t="s">
        <v>68</v>
      </c>
    </row>
    <row r="14">
      <c r="A14" s="4" t="s">
        <v>61</v>
      </c>
      <c r="B14" s="4"/>
      <c r="C14" s="4" t="s">
        <v>69</v>
      </c>
    </row>
    <row r="15">
      <c r="A15" s="4" t="s">
        <v>61</v>
      </c>
      <c r="B15" s="4"/>
      <c r="C15" s="4" t="s">
        <v>70</v>
      </c>
    </row>
    <row r="16">
      <c r="A16" s="4" t="s">
        <v>61</v>
      </c>
      <c r="B16" s="4"/>
      <c r="C16" s="4" t="s">
        <v>71</v>
      </c>
    </row>
    <row r="17">
      <c r="A17" s="4" t="s">
        <v>72</v>
      </c>
      <c r="B17" s="4" t="s">
        <v>73</v>
      </c>
      <c r="C17" s="4" t="s">
        <v>74</v>
      </c>
    </row>
    <row r="18">
      <c r="A18" s="4" t="s">
        <v>72</v>
      </c>
      <c r="B18" s="4" t="s">
        <v>73</v>
      </c>
      <c r="C18" s="4" t="s">
        <v>75</v>
      </c>
    </row>
    <row r="19">
      <c r="A19" s="4" t="s">
        <v>72</v>
      </c>
      <c r="B19" s="4" t="s">
        <v>73</v>
      </c>
      <c r="C19" s="4" t="s">
        <v>76</v>
      </c>
    </row>
    <row r="20">
      <c r="A20" s="4" t="s">
        <v>72</v>
      </c>
      <c r="B20" s="4" t="s">
        <v>73</v>
      </c>
      <c r="C20" s="4" t="s">
        <v>77</v>
      </c>
    </row>
    <row r="21">
      <c r="A21" s="4" t="s">
        <v>78</v>
      </c>
      <c r="B21" s="4" t="s">
        <v>79</v>
      </c>
      <c r="C21" s="4" t="s">
        <v>80</v>
      </c>
    </row>
    <row r="22">
      <c r="A22" s="4" t="s">
        <v>78</v>
      </c>
      <c r="B22" s="4" t="s">
        <v>79</v>
      </c>
      <c r="C22" s="4" t="s">
        <v>81</v>
      </c>
    </row>
    <row r="23">
      <c r="A23" s="4" t="s">
        <v>78</v>
      </c>
      <c r="B23" s="4" t="s">
        <v>79</v>
      </c>
      <c r="C23" s="4" t="s">
        <v>82</v>
      </c>
    </row>
    <row r="24">
      <c r="A24" s="4" t="s">
        <v>78</v>
      </c>
      <c r="B24" s="4" t="s">
        <v>79</v>
      </c>
      <c r="C24" s="4" t="s">
        <v>83</v>
      </c>
    </row>
    <row r="25">
      <c r="A25" s="4" t="s">
        <v>78</v>
      </c>
      <c r="B25" s="4" t="s">
        <v>79</v>
      </c>
      <c r="C25" s="4" t="s">
        <v>84</v>
      </c>
    </row>
    <row r="26">
      <c r="A26" s="4" t="s">
        <v>78</v>
      </c>
      <c r="B26" s="4" t="s">
        <v>79</v>
      </c>
      <c r="C26" s="4" t="s">
        <v>85</v>
      </c>
    </row>
    <row r="27">
      <c r="A27" s="4" t="s">
        <v>78</v>
      </c>
      <c r="B27" s="4" t="s">
        <v>79</v>
      </c>
      <c r="C27" s="4" t="s">
        <v>86</v>
      </c>
    </row>
    <row r="28">
      <c r="A28" s="4" t="s">
        <v>78</v>
      </c>
      <c r="B28" s="4" t="s">
        <v>79</v>
      </c>
      <c r="C28" s="4" t="s">
        <v>87</v>
      </c>
    </row>
    <row r="29">
      <c r="A29" s="4" t="s">
        <v>78</v>
      </c>
      <c r="B29" s="4" t="s">
        <v>79</v>
      </c>
      <c r="C29" s="4" t="s">
        <v>88</v>
      </c>
    </row>
    <row r="30">
      <c r="A30" s="4" t="s">
        <v>89</v>
      </c>
      <c r="B30" s="4" t="s">
        <v>90</v>
      </c>
      <c r="C30" s="4" t="s">
        <v>91</v>
      </c>
      <c r="F30" s="4">
        <v>1.0</v>
      </c>
      <c r="I30" s="4">
        <v>1.0</v>
      </c>
      <c r="V30" s="4">
        <v>1.0</v>
      </c>
      <c r="AA30" s="4">
        <v>1.0</v>
      </c>
      <c r="AD30" s="4">
        <v>1.0</v>
      </c>
    </row>
    <row r="31">
      <c r="A31" s="4" t="s">
        <v>92</v>
      </c>
      <c r="B31" s="4"/>
      <c r="C31" s="4" t="s">
        <v>93</v>
      </c>
    </row>
    <row r="32">
      <c r="A32" s="4" t="s">
        <v>94</v>
      </c>
      <c r="B32" s="4" t="s">
        <v>95</v>
      </c>
      <c r="C32" s="4" t="s">
        <v>96</v>
      </c>
    </row>
    <row r="33">
      <c r="A33" s="4" t="s">
        <v>97</v>
      </c>
      <c r="B33" s="4" t="s">
        <v>97</v>
      </c>
      <c r="C33" s="4" t="s">
        <v>98</v>
      </c>
    </row>
    <row r="34">
      <c r="A34" s="4" t="s">
        <v>99</v>
      </c>
      <c r="B34" s="4" t="s">
        <v>100</v>
      </c>
      <c r="C34" s="4" t="s">
        <v>101</v>
      </c>
    </row>
    <row r="35">
      <c r="A35" s="4" t="s">
        <v>99</v>
      </c>
      <c r="B35" s="4" t="s">
        <v>100</v>
      </c>
      <c r="C35" s="4" t="s">
        <v>102</v>
      </c>
    </row>
    <row r="36">
      <c r="A36" s="4" t="s">
        <v>99</v>
      </c>
      <c r="B36" s="4" t="s">
        <v>100</v>
      </c>
      <c r="C36" s="4" t="s">
        <v>103</v>
      </c>
    </row>
    <row r="37">
      <c r="A37" s="4" t="s">
        <v>99</v>
      </c>
      <c r="B37" s="4" t="s">
        <v>104</v>
      </c>
      <c r="C37" s="4" t="s">
        <v>105</v>
      </c>
      <c r="F37" s="4">
        <v>1.0</v>
      </c>
    </row>
    <row r="38">
      <c r="A38" s="4" t="s">
        <v>99</v>
      </c>
      <c r="B38" s="4" t="s">
        <v>104</v>
      </c>
      <c r="C38" s="4" t="s">
        <v>106</v>
      </c>
      <c r="F38" s="4">
        <v>1.0</v>
      </c>
    </row>
    <row r="39">
      <c r="A39" s="4" t="s">
        <v>99</v>
      </c>
      <c r="B39" s="4" t="s">
        <v>107</v>
      </c>
      <c r="C39" s="4" t="s">
        <v>108</v>
      </c>
      <c r="F39" s="4">
        <v>1.0</v>
      </c>
    </row>
    <row r="40">
      <c r="A40" s="4" t="s">
        <v>99</v>
      </c>
      <c r="B40" s="4"/>
      <c r="C40" s="4" t="s">
        <v>109</v>
      </c>
    </row>
    <row r="41">
      <c r="A41" s="4" t="s">
        <v>99</v>
      </c>
      <c r="B41" s="4"/>
      <c r="C41" s="4" t="s">
        <v>110</v>
      </c>
    </row>
    <row r="42">
      <c r="A42" s="4" t="s">
        <v>99</v>
      </c>
      <c r="B42" s="4"/>
      <c r="C42" s="4" t="s">
        <v>111</v>
      </c>
    </row>
    <row r="43">
      <c r="A43" s="4" t="s">
        <v>99</v>
      </c>
      <c r="B43" s="4"/>
      <c r="C43" s="4" t="s">
        <v>112</v>
      </c>
    </row>
    <row r="44">
      <c r="A44" s="4" t="s">
        <v>99</v>
      </c>
      <c r="B44" s="4"/>
      <c r="C44" s="4" t="s">
        <v>113</v>
      </c>
    </row>
    <row r="45">
      <c r="A45" s="4" t="s">
        <v>99</v>
      </c>
      <c r="B45" s="4"/>
      <c r="C45" s="4" t="s">
        <v>114</v>
      </c>
    </row>
    <row r="46">
      <c r="A46" s="4" t="s">
        <v>115</v>
      </c>
      <c r="B46" s="4" t="s">
        <v>115</v>
      </c>
      <c r="C46" s="4" t="s">
        <v>116</v>
      </c>
    </row>
    <row r="47">
      <c r="A47" s="4" t="s">
        <v>117</v>
      </c>
      <c r="B47" s="4"/>
      <c r="C47" s="4" t="s">
        <v>118</v>
      </c>
    </row>
    <row r="48">
      <c r="A48" s="4" t="s">
        <v>119</v>
      </c>
      <c r="B48" s="4" t="s">
        <v>120</v>
      </c>
      <c r="C48" s="4" t="s">
        <v>121</v>
      </c>
    </row>
    <row r="49">
      <c r="A49" s="4" t="s">
        <v>119</v>
      </c>
      <c r="B49" s="4"/>
      <c r="C49" s="4" t="s">
        <v>122</v>
      </c>
    </row>
    <row r="50">
      <c r="A50" s="4" t="s">
        <v>119</v>
      </c>
      <c r="B50" s="4"/>
      <c r="C50" s="4" t="s">
        <v>123</v>
      </c>
    </row>
    <row r="51">
      <c r="A51" s="4" t="s">
        <v>119</v>
      </c>
      <c r="B51" s="4"/>
      <c r="C51" s="4" t="s">
        <v>124</v>
      </c>
    </row>
    <row r="52">
      <c r="A52" s="4" t="s">
        <v>119</v>
      </c>
      <c r="B52" s="4"/>
      <c r="C52" s="4" t="s">
        <v>125</v>
      </c>
    </row>
    <row r="53">
      <c r="A53" s="4" t="s">
        <v>126</v>
      </c>
      <c r="B53" s="4"/>
      <c r="C53" s="4" t="s">
        <v>127</v>
      </c>
    </row>
    <row r="54">
      <c r="A54" s="4" t="s">
        <v>128</v>
      </c>
      <c r="B54" s="4"/>
      <c r="C54" s="4" t="s">
        <v>129</v>
      </c>
    </row>
    <row r="55">
      <c r="A55" s="4" t="s">
        <v>130</v>
      </c>
      <c r="B55" s="4"/>
      <c r="C55" s="4" t="s">
        <v>131</v>
      </c>
    </row>
    <row r="56">
      <c r="A56" s="4" t="s">
        <v>130</v>
      </c>
      <c r="B56" s="4"/>
      <c r="C56" s="4" t="s">
        <v>132</v>
      </c>
    </row>
    <row r="57">
      <c r="A57" s="4" t="s">
        <v>130</v>
      </c>
      <c r="B57" s="4"/>
      <c r="C57" s="4" t="s">
        <v>133</v>
      </c>
    </row>
    <row r="58">
      <c r="A58" s="4" t="s">
        <v>130</v>
      </c>
      <c r="B58" s="4"/>
      <c r="C58" s="4" t="s">
        <v>134</v>
      </c>
    </row>
    <row r="59">
      <c r="A59" s="4" t="s">
        <v>130</v>
      </c>
      <c r="B59" s="4"/>
      <c r="C59" s="4" t="s">
        <v>135</v>
      </c>
    </row>
    <row r="60">
      <c r="A60" s="4" t="s">
        <v>136</v>
      </c>
      <c r="B60" s="4"/>
      <c r="C60" s="4" t="s">
        <v>137</v>
      </c>
    </row>
    <row r="61">
      <c r="A61" s="4" t="s">
        <v>138</v>
      </c>
      <c r="B61" s="4" t="s">
        <v>139</v>
      </c>
      <c r="C61" s="4" t="s">
        <v>140</v>
      </c>
    </row>
    <row r="62">
      <c r="A62" s="4" t="s">
        <v>138</v>
      </c>
      <c r="B62" s="4" t="s">
        <v>139</v>
      </c>
      <c r="C62" s="4" t="s">
        <v>141</v>
      </c>
    </row>
    <row r="63">
      <c r="A63" s="4" t="s">
        <v>138</v>
      </c>
      <c r="B63" s="4" t="s">
        <v>139</v>
      </c>
      <c r="C63" s="4" t="s">
        <v>142</v>
      </c>
    </row>
    <row r="64">
      <c r="A64" s="4" t="s">
        <v>138</v>
      </c>
      <c r="B64" s="4" t="s">
        <v>139</v>
      </c>
      <c r="C64" s="4" t="s">
        <v>143</v>
      </c>
    </row>
    <row r="65">
      <c r="A65" s="4" t="s">
        <v>138</v>
      </c>
      <c r="B65" s="4" t="s">
        <v>144</v>
      </c>
      <c r="C65" s="4" t="s">
        <v>145</v>
      </c>
    </row>
    <row r="66">
      <c r="A66" s="4" t="s">
        <v>138</v>
      </c>
      <c r="B66" s="4" t="s">
        <v>144</v>
      </c>
      <c r="C66" s="4" t="s">
        <v>146</v>
      </c>
    </row>
    <row r="67">
      <c r="A67" s="4" t="s">
        <v>138</v>
      </c>
      <c r="B67" s="4"/>
      <c r="C67" s="4" t="s">
        <v>147</v>
      </c>
    </row>
    <row r="68">
      <c r="A68" s="4" t="s">
        <v>148</v>
      </c>
      <c r="B68" s="4"/>
      <c r="C68" s="4" t="s">
        <v>149</v>
      </c>
    </row>
    <row r="69">
      <c r="A69" s="4" t="s">
        <v>150</v>
      </c>
      <c r="B69" s="4" t="s">
        <v>151</v>
      </c>
      <c r="C69" s="4" t="s">
        <v>152</v>
      </c>
    </row>
    <row r="70">
      <c r="A70" s="4" t="s">
        <v>153</v>
      </c>
      <c r="B70" s="4"/>
      <c r="C70" s="4" t="s">
        <v>154</v>
      </c>
    </row>
    <row r="71">
      <c r="A71" s="4" t="s">
        <v>153</v>
      </c>
      <c r="B71" s="4"/>
      <c r="C71" s="4" t="s">
        <v>155</v>
      </c>
    </row>
    <row r="72">
      <c r="A72" s="4" t="s">
        <v>153</v>
      </c>
      <c r="B72" s="4"/>
      <c r="C72" s="4" t="s">
        <v>156</v>
      </c>
    </row>
    <row r="73">
      <c r="A73" s="4" t="s">
        <v>153</v>
      </c>
      <c r="B73" s="4"/>
      <c r="C73" s="4" t="s">
        <v>157</v>
      </c>
    </row>
    <row r="74">
      <c r="A74" s="4" t="s">
        <v>158</v>
      </c>
      <c r="B74" s="4"/>
      <c r="C74" s="4" t="s">
        <v>159</v>
      </c>
    </row>
    <row r="75">
      <c r="A75" s="4" t="s">
        <v>160</v>
      </c>
      <c r="B75" s="4" t="s">
        <v>161</v>
      </c>
      <c r="C75" s="4" t="s">
        <v>162</v>
      </c>
    </row>
    <row r="76">
      <c r="A76" s="4" t="s">
        <v>160</v>
      </c>
      <c r="B76" s="4" t="s">
        <v>161</v>
      </c>
      <c r="C76" s="4" t="s">
        <v>163</v>
      </c>
    </row>
    <row r="77">
      <c r="A77" s="4" t="s">
        <v>160</v>
      </c>
      <c r="B77" s="4" t="s">
        <v>161</v>
      </c>
      <c r="C77" s="4" t="s">
        <v>164</v>
      </c>
    </row>
    <row r="78">
      <c r="A78" s="4" t="s">
        <v>160</v>
      </c>
      <c r="B78" s="4" t="s">
        <v>161</v>
      </c>
      <c r="C78" s="4" t="s">
        <v>165</v>
      </c>
    </row>
    <row r="79">
      <c r="A79" s="4" t="s">
        <v>160</v>
      </c>
      <c r="B79" s="4" t="s">
        <v>161</v>
      </c>
      <c r="C79" s="4" t="s">
        <v>166</v>
      </c>
    </row>
    <row r="80">
      <c r="A80" s="4" t="s">
        <v>160</v>
      </c>
      <c r="B80" s="4" t="s">
        <v>161</v>
      </c>
      <c r="C80" s="4" t="s">
        <v>167</v>
      </c>
    </row>
    <row r="81">
      <c r="A81" s="4" t="s">
        <v>160</v>
      </c>
      <c r="B81" s="4" t="s">
        <v>161</v>
      </c>
      <c r="C81" s="4" t="s">
        <v>168</v>
      </c>
    </row>
    <row r="82">
      <c r="A82" s="4" t="s">
        <v>160</v>
      </c>
      <c r="B82" s="4" t="s">
        <v>161</v>
      </c>
      <c r="C82" s="4" t="s">
        <v>169</v>
      </c>
    </row>
    <row r="83">
      <c r="A83" s="4" t="s">
        <v>160</v>
      </c>
      <c r="B83" s="4" t="s">
        <v>161</v>
      </c>
      <c r="C83" s="4" t="s">
        <v>170</v>
      </c>
    </row>
    <row r="84">
      <c r="A84" s="4" t="s">
        <v>160</v>
      </c>
      <c r="B84" s="4" t="s">
        <v>161</v>
      </c>
      <c r="C84" s="4" t="s">
        <v>171</v>
      </c>
    </row>
    <row r="85">
      <c r="A85" s="4" t="s">
        <v>160</v>
      </c>
      <c r="B85" s="4" t="s">
        <v>161</v>
      </c>
      <c r="C85" s="4" t="s">
        <v>172</v>
      </c>
    </row>
    <row r="86">
      <c r="A86" s="4" t="s">
        <v>160</v>
      </c>
      <c r="B86" s="4" t="s">
        <v>161</v>
      </c>
      <c r="C86" s="4" t="s">
        <v>173</v>
      </c>
    </row>
    <row r="87">
      <c r="A87" s="4" t="s">
        <v>160</v>
      </c>
      <c r="B87" s="4" t="s">
        <v>161</v>
      </c>
      <c r="C87" s="4" t="s">
        <v>174</v>
      </c>
    </row>
    <row r="88">
      <c r="A88" s="4" t="s">
        <v>160</v>
      </c>
      <c r="B88" s="4" t="s">
        <v>161</v>
      </c>
      <c r="C88" s="4" t="s">
        <v>175</v>
      </c>
    </row>
    <row r="89">
      <c r="A89" s="4" t="s">
        <v>160</v>
      </c>
      <c r="B89" s="4" t="s">
        <v>161</v>
      </c>
      <c r="C89" s="4" t="s">
        <v>176</v>
      </c>
    </row>
    <row r="90">
      <c r="A90" s="4" t="s">
        <v>160</v>
      </c>
      <c r="B90" s="4"/>
      <c r="C90" s="4" t="s">
        <v>177</v>
      </c>
    </row>
    <row r="91">
      <c r="A91" s="4" t="s">
        <v>160</v>
      </c>
      <c r="B91" s="4"/>
      <c r="C91" s="4" t="s">
        <v>178</v>
      </c>
    </row>
    <row r="92">
      <c r="A92" s="4" t="s">
        <v>160</v>
      </c>
      <c r="B92" s="4"/>
      <c r="C92" s="4" t="s">
        <v>179</v>
      </c>
    </row>
    <row r="93">
      <c r="A93" s="4" t="s">
        <v>160</v>
      </c>
      <c r="B93" s="4"/>
      <c r="C93" s="4" t="s">
        <v>180</v>
      </c>
    </row>
    <row r="94">
      <c r="A94" s="4" t="s">
        <v>160</v>
      </c>
      <c r="B94" s="4"/>
      <c r="C94" s="4" t="s">
        <v>181</v>
      </c>
    </row>
    <row r="95">
      <c r="A95" s="4" t="s">
        <v>160</v>
      </c>
      <c r="B95" s="4"/>
      <c r="C95" s="4" t="s">
        <v>182</v>
      </c>
    </row>
    <row r="96">
      <c r="A96" s="4" t="s">
        <v>160</v>
      </c>
      <c r="B96" s="4"/>
      <c r="C96" s="4" t="s">
        <v>183</v>
      </c>
    </row>
    <row r="97">
      <c r="A97" s="4" t="s">
        <v>160</v>
      </c>
      <c r="B97" s="4"/>
      <c r="C97" s="4" t="s">
        <v>184</v>
      </c>
    </row>
    <row r="98">
      <c r="A98" s="4" t="s">
        <v>160</v>
      </c>
      <c r="B98" s="4"/>
      <c r="C98" s="4" t="s">
        <v>185</v>
      </c>
    </row>
    <row r="99">
      <c r="A99" s="4" t="s">
        <v>186</v>
      </c>
      <c r="B99" s="4" t="s">
        <v>187</v>
      </c>
      <c r="C99" s="4" t="s">
        <v>188</v>
      </c>
    </row>
    <row r="100">
      <c r="A100" s="4" t="s">
        <v>186</v>
      </c>
      <c r="B100" s="4"/>
      <c r="C100" s="4" t="s">
        <v>189</v>
      </c>
    </row>
    <row r="101">
      <c r="A101" s="4" t="s">
        <v>186</v>
      </c>
      <c r="B101" s="4"/>
      <c r="C101" s="4" t="s">
        <v>190</v>
      </c>
    </row>
    <row r="102">
      <c r="A102" s="4" t="s">
        <v>191</v>
      </c>
      <c r="B102" s="4"/>
      <c r="C102" s="4" t="s">
        <v>192</v>
      </c>
    </row>
    <row r="103">
      <c r="A103" s="4" t="s">
        <v>191</v>
      </c>
      <c r="B103" s="4"/>
      <c r="C103" s="4" t="s">
        <v>193</v>
      </c>
    </row>
    <row r="104">
      <c r="A104" s="4" t="s">
        <v>194</v>
      </c>
      <c r="B104" s="4"/>
      <c r="C104" s="4" t="s">
        <v>195</v>
      </c>
    </row>
    <row r="105">
      <c r="A105" s="4" t="s">
        <v>194</v>
      </c>
      <c r="B105" s="4"/>
      <c r="C105" s="4" t="s">
        <v>196</v>
      </c>
    </row>
    <row r="106">
      <c r="A106" s="4" t="s">
        <v>194</v>
      </c>
      <c r="B106" s="4"/>
      <c r="C106" s="4" t="s">
        <v>197</v>
      </c>
    </row>
    <row r="107">
      <c r="A107" s="4" t="s">
        <v>194</v>
      </c>
      <c r="B107" s="4"/>
      <c r="C107" s="4" t="s">
        <v>198</v>
      </c>
    </row>
    <row r="108">
      <c r="A108" s="4" t="s">
        <v>194</v>
      </c>
      <c r="B108" s="4"/>
      <c r="C108" s="4" t="s">
        <v>199</v>
      </c>
    </row>
    <row r="109">
      <c r="A109" s="4" t="s">
        <v>194</v>
      </c>
      <c r="B109" s="4"/>
      <c r="C109" s="4" t="s">
        <v>200</v>
      </c>
    </row>
    <row r="110">
      <c r="A110" s="4" t="s">
        <v>201</v>
      </c>
      <c r="B110" s="4"/>
      <c r="C110" s="4" t="s">
        <v>202</v>
      </c>
    </row>
    <row r="111">
      <c r="A111" s="4" t="s">
        <v>203</v>
      </c>
      <c r="B111" s="4" t="s">
        <v>204</v>
      </c>
      <c r="C111" s="4" t="s">
        <v>205</v>
      </c>
    </row>
    <row r="112">
      <c r="A112" s="4" t="s">
        <v>203</v>
      </c>
      <c r="B112" s="4" t="s">
        <v>204</v>
      </c>
      <c r="C112" s="4" t="s">
        <v>206</v>
      </c>
      <c r="AD112" s="4">
        <v>1.0</v>
      </c>
    </row>
    <row r="113">
      <c r="A113" s="4" t="s">
        <v>203</v>
      </c>
      <c r="B113" s="4" t="s">
        <v>204</v>
      </c>
      <c r="C113" s="4" t="s">
        <v>207</v>
      </c>
    </row>
    <row r="114">
      <c r="A114" s="4" t="s">
        <v>203</v>
      </c>
      <c r="B114" s="4" t="s">
        <v>204</v>
      </c>
      <c r="C114" s="4" t="s">
        <v>208</v>
      </c>
    </row>
    <row r="115">
      <c r="A115" s="4" t="s">
        <v>203</v>
      </c>
      <c r="B115" s="4" t="s">
        <v>204</v>
      </c>
      <c r="C115" s="4" t="s">
        <v>209</v>
      </c>
    </row>
    <row r="116">
      <c r="A116" s="4" t="s">
        <v>203</v>
      </c>
      <c r="B116" s="4" t="s">
        <v>204</v>
      </c>
      <c r="C116" s="4" t="s">
        <v>210</v>
      </c>
    </row>
    <row r="117">
      <c r="A117" s="4" t="s">
        <v>203</v>
      </c>
      <c r="B117" s="4" t="s">
        <v>204</v>
      </c>
      <c r="C117" s="4" t="s">
        <v>211</v>
      </c>
      <c r="V117" s="4">
        <v>1.0</v>
      </c>
      <c r="AD117" s="4">
        <v>1.0</v>
      </c>
    </row>
    <row r="118">
      <c r="A118" s="4" t="s">
        <v>203</v>
      </c>
      <c r="B118" s="4" t="s">
        <v>212</v>
      </c>
      <c r="C118" s="4" t="s">
        <v>213</v>
      </c>
      <c r="AD118" s="4">
        <v>1.0</v>
      </c>
    </row>
    <row r="119">
      <c r="A119" s="4" t="s">
        <v>214</v>
      </c>
      <c r="B119" s="4" t="s">
        <v>215</v>
      </c>
      <c r="C119" s="4" t="s">
        <v>216</v>
      </c>
      <c r="O119" s="4">
        <v>1.0</v>
      </c>
    </row>
    <row r="120">
      <c r="A120" s="4" t="s">
        <v>217</v>
      </c>
      <c r="B120" s="4"/>
      <c r="C120" s="4" t="s">
        <v>218</v>
      </c>
    </row>
    <row r="121">
      <c r="A121" s="4" t="s">
        <v>217</v>
      </c>
      <c r="B121" s="4"/>
      <c r="C121" s="4" t="s">
        <v>219</v>
      </c>
    </row>
    <row r="122">
      <c r="A122" s="4" t="s">
        <v>217</v>
      </c>
      <c r="B122" s="4"/>
      <c r="C122" s="4" t="s">
        <v>220</v>
      </c>
    </row>
    <row r="123">
      <c r="A123" s="4" t="s">
        <v>217</v>
      </c>
      <c r="B123" s="4"/>
      <c r="C123" s="4" t="s">
        <v>221</v>
      </c>
    </row>
    <row r="124">
      <c r="A124" s="4" t="s">
        <v>217</v>
      </c>
      <c r="B124" s="4"/>
      <c r="C124" s="4" t="s">
        <v>222</v>
      </c>
    </row>
    <row r="125">
      <c r="A125" s="4" t="s">
        <v>217</v>
      </c>
      <c r="B125" s="4"/>
      <c r="C125" s="4" t="s">
        <v>223</v>
      </c>
    </row>
    <row r="126">
      <c r="A126" s="4" t="s">
        <v>224</v>
      </c>
      <c r="B126" s="4" t="s">
        <v>225</v>
      </c>
      <c r="C126" s="4" t="s">
        <v>226</v>
      </c>
    </row>
    <row r="127">
      <c r="A127" s="4" t="s">
        <v>224</v>
      </c>
      <c r="B127" s="4" t="s">
        <v>225</v>
      </c>
      <c r="C127" s="4" t="s">
        <v>227</v>
      </c>
      <c r="H127" s="4">
        <v>9.0</v>
      </c>
    </row>
    <row r="128">
      <c r="A128" s="4" t="s">
        <v>224</v>
      </c>
      <c r="B128" s="4" t="s">
        <v>225</v>
      </c>
      <c r="C128" s="4" t="s">
        <v>228</v>
      </c>
    </row>
    <row r="129">
      <c r="A129" s="4" t="s">
        <v>224</v>
      </c>
      <c r="B129" s="4" t="s">
        <v>229</v>
      </c>
      <c r="C129" s="4" t="s">
        <v>230</v>
      </c>
    </row>
    <row r="130">
      <c r="A130" s="4" t="s">
        <v>224</v>
      </c>
      <c r="B130" s="4" t="s">
        <v>229</v>
      </c>
      <c r="C130" s="4" t="s">
        <v>231</v>
      </c>
    </row>
    <row r="131">
      <c r="A131" s="4" t="s">
        <v>224</v>
      </c>
      <c r="B131" s="4" t="s">
        <v>229</v>
      </c>
      <c r="C131" s="4" t="s">
        <v>232</v>
      </c>
      <c r="H131" s="4">
        <v>2.0</v>
      </c>
    </row>
    <row r="132">
      <c r="A132" s="4" t="s">
        <v>224</v>
      </c>
      <c r="B132" s="4" t="s">
        <v>229</v>
      </c>
      <c r="C132" s="4" t="s">
        <v>233</v>
      </c>
    </row>
    <row r="133">
      <c r="A133" s="4" t="s">
        <v>224</v>
      </c>
      <c r="B133" s="4"/>
      <c r="C133" s="4" t="s">
        <v>234</v>
      </c>
    </row>
    <row r="134">
      <c r="A134" s="4" t="s">
        <v>235</v>
      </c>
      <c r="B134" s="4"/>
      <c r="C134" s="4" t="s">
        <v>236</v>
      </c>
    </row>
    <row r="135">
      <c r="A135" s="4" t="s">
        <v>235</v>
      </c>
      <c r="B135" s="4"/>
      <c r="C135" s="4" t="s">
        <v>237</v>
      </c>
    </row>
    <row r="136">
      <c r="A136" s="12" t="s">
        <v>238</v>
      </c>
      <c r="B136" s="4" t="s">
        <v>239</v>
      </c>
      <c r="C136" s="4" t="s">
        <v>240</v>
      </c>
    </row>
    <row r="137">
      <c r="A137" s="12" t="s">
        <v>238</v>
      </c>
      <c r="B137" s="4" t="s">
        <v>239</v>
      </c>
      <c r="C137" s="4" t="s">
        <v>241</v>
      </c>
    </row>
    <row r="138">
      <c r="A138" s="4" t="s">
        <v>238</v>
      </c>
      <c r="B138" s="4" t="s">
        <v>239</v>
      </c>
      <c r="C138" s="4" t="s">
        <v>242</v>
      </c>
    </row>
    <row r="139">
      <c r="A139" s="4" t="s">
        <v>238</v>
      </c>
      <c r="B139" s="4" t="s">
        <v>239</v>
      </c>
      <c r="C139" s="4" t="s">
        <v>243</v>
      </c>
    </row>
    <row r="140">
      <c r="A140" s="4" t="s">
        <v>238</v>
      </c>
      <c r="B140" s="4" t="s">
        <v>239</v>
      </c>
      <c r="C140" s="4" t="s">
        <v>244</v>
      </c>
    </row>
    <row r="141">
      <c r="A141" s="4" t="s">
        <v>238</v>
      </c>
      <c r="B141" s="4" t="s">
        <v>239</v>
      </c>
      <c r="C141" s="4" t="s">
        <v>245</v>
      </c>
    </row>
    <row r="142">
      <c r="A142" s="4" t="s">
        <v>238</v>
      </c>
      <c r="B142" s="4" t="s">
        <v>239</v>
      </c>
      <c r="C142" s="4" t="s">
        <v>246</v>
      </c>
    </row>
    <row r="143">
      <c r="A143" s="4" t="s">
        <v>238</v>
      </c>
      <c r="B143" s="4" t="s">
        <v>239</v>
      </c>
      <c r="C143" s="4" t="s">
        <v>247</v>
      </c>
    </row>
    <row r="144">
      <c r="A144" s="4" t="s">
        <v>238</v>
      </c>
      <c r="B144" s="4" t="s">
        <v>248</v>
      </c>
      <c r="C144" s="4" t="s">
        <v>249</v>
      </c>
    </row>
    <row r="145">
      <c r="A145" s="4" t="s">
        <v>238</v>
      </c>
      <c r="B145" s="4" t="s">
        <v>248</v>
      </c>
      <c r="C145" s="4" t="s">
        <v>250</v>
      </c>
    </row>
    <row r="146">
      <c r="A146" s="4" t="s">
        <v>238</v>
      </c>
      <c r="B146" s="4" t="s">
        <v>251</v>
      </c>
      <c r="C146" s="4" t="s">
        <v>252</v>
      </c>
    </row>
    <row r="147">
      <c r="A147" s="4" t="s">
        <v>238</v>
      </c>
      <c r="B147" s="4" t="s">
        <v>251</v>
      </c>
      <c r="C147" s="4" t="s">
        <v>253</v>
      </c>
    </row>
    <row r="148">
      <c r="A148" s="4" t="s">
        <v>238</v>
      </c>
      <c r="B148" s="4" t="s">
        <v>251</v>
      </c>
      <c r="C148" s="4" t="s">
        <v>254</v>
      </c>
    </row>
    <row r="149">
      <c r="A149" s="4" t="s">
        <v>238</v>
      </c>
      <c r="B149" s="4" t="s">
        <v>255</v>
      </c>
      <c r="C149" s="4" t="s">
        <v>256</v>
      </c>
    </row>
    <row r="150">
      <c r="A150" s="4" t="s">
        <v>238</v>
      </c>
      <c r="B150" s="4" t="s">
        <v>255</v>
      </c>
      <c r="C150" s="4" t="s">
        <v>257</v>
      </c>
    </row>
    <row r="151">
      <c r="A151" s="4" t="s">
        <v>238</v>
      </c>
      <c r="B151" s="4" t="s">
        <v>255</v>
      </c>
      <c r="C151" s="4" t="s">
        <v>258</v>
      </c>
    </row>
    <row r="152">
      <c r="A152" s="4" t="s">
        <v>238</v>
      </c>
      <c r="B152" s="4" t="s">
        <v>255</v>
      </c>
      <c r="C152" s="4" t="s">
        <v>259</v>
      </c>
    </row>
    <row r="153">
      <c r="A153" s="4" t="s">
        <v>238</v>
      </c>
      <c r="B153" s="4" t="s">
        <v>255</v>
      </c>
      <c r="C153" s="4" t="s">
        <v>260</v>
      </c>
    </row>
    <row r="154">
      <c r="A154" s="4" t="s">
        <v>238</v>
      </c>
      <c r="B154" s="4" t="s">
        <v>255</v>
      </c>
      <c r="C154" s="4" t="s">
        <v>261</v>
      </c>
    </row>
    <row r="155">
      <c r="A155" s="4" t="s">
        <v>238</v>
      </c>
      <c r="B155" s="4" t="s">
        <v>262</v>
      </c>
      <c r="C155" s="4" t="s">
        <v>263</v>
      </c>
    </row>
    <row r="156">
      <c r="A156" s="4" t="s">
        <v>238</v>
      </c>
      <c r="B156" s="4" t="s">
        <v>262</v>
      </c>
      <c r="C156" s="4" t="s">
        <v>264</v>
      </c>
    </row>
    <row r="157">
      <c r="A157" s="4" t="s">
        <v>238</v>
      </c>
      <c r="B157" s="4" t="s">
        <v>262</v>
      </c>
      <c r="C157" s="4" t="s">
        <v>265</v>
      </c>
    </row>
    <row r="158">
      <c r="A158" s="4" t="s">
        <v>238</v>
      </c>
      <c r="B158" s="4" t="s">
        <v>262</v>
      </c>
      <c r="C158" s="4" t="s">
        <v>266</v>
      </c>
    </row>
    <row r="159">
      <c r="A159" s="4" t="s">
        <v>238</v>
      </c>
      <c r="B159" s="4" t="s">
        <v>262</v>
      </c>
      <c r="C159" s="4" t="s">
        <v>267</v>
      </c>
    </row>
    <row r="160">
      <c r="A160" s="4" t="s">
        <v>238</v>
      </c>
      <c r="B160" s="4" t="s">
        <v>262</v>
      </c>
      <c r="C160" s="4" t="s">
        <v>268</v>
      </c>
    </row>
    <row r="161">
      <c r="A161" s="4" t="s">
        <v>238</v>
      </c>
      <c r="B161" s="4" t="s">
        <v>269</v>
      </c>
      <c r="C161" s="4" t="s">
        <v>270</v>
      </c>
    </row>
    <row r="162">
      <c r="A162" s="4" t="s">
        <v>238</v>
      </c>
      <c r="B162" s="4" t="s">
        <v>269</v>
      </c>
      <c r="C162" s="4" t="s">
        <v>271</v>
      </c>
    </row>
    <row r="163">
      <c r="A163" s="4" t="s">
        <v>238</v>
      </c>
      <c r="B163" s="4" t="s">
        <v>269</v>
      </c>
      <c r="C163" s="4" t="s">
        <v>272</v>
      </c>
    </row>
    <row r="164">
      <c r="A164" s="4" t="s">
        <v>238</v>
      </c>
      <c r="B164" s="4" t="s">
        <v>269</v>
      </c>
      <c r="C164" s="4" t="s">
        <v>273</v>
      </c>
    </row>
    <row r="165">
      <c r="A165" s="4" t="s">
        <v>238</v>
      </c>
      <c r="B165" s="4" t="s">
        <v>274</v>
      </c>
      <c r="C165" s="4" t="s">
        <v>275</v>
      </c>
    </row>
    <row r="166">
      <c r="A166" s="4" t="s">
        <v>238</v>
      </c>
      <c r="B166" s="4" t="s">
        <v>274</v>
      </c>
      <c r="C166" s="4" t="s">
        <v>276</v>
      </c>
    </row>
    <row r="167">
      <c r="A167" s="4" t="s">
        <v>238</v>
      </c>
      <c r="B167" s="4" t="s">
        <v>274</v>
      </c>
      <c r="C167" s="4" t="s">
        <v>277</v>
      </c>
    </row>
    <row r="168">
      <c r="A168" s="4" t="s">
        <v>238</v>
      </c>
      <c r="B168" s="4" t="s">
        <v>274</v>
      </c>
      <c r="C168" s="4" t="s">
        <v>278</v>
      </c>
    </row>
    <row r="169">
      <c r="A169" s="4" t="s">
        <v>238</v>
      </c>
      <c r="B169" s="4" t="s">
        <v>279</v>
      </c>
      <c r="C169" s="4" t="s">
        <v>280</v>
      </c>
    </row>
    <row r="170">
      <c r="A170" s="12" t="s">
        <v>238</v>
      </c>
      <c r="B170" s="4" t="s">
        <v>281</v>
      </c>
      <c r="C170" s="4" t="s">
        <v>282</v>
      </c>
    </row>
    <row r="171">
      <c r="A171" s="12" t="s">
        <v>238</v>
      </c>
      <c r="B171" s="4" t="s">
        <v>281</v>
      </c>
      <c r="C171" s="4" t="s">
        <v>283</v>
      </c>
    </row>
    <row r="172">
      <c r="A172" s="12" t="s">
        <v>238</v>
      </c>
      <c r="B172" s="4" t="s">
        <v>281</v>
      </c>
      <c r="C172" s="4" t="s">
        <v>284</v>
      </c>
    </row>
    <row r="173">
      <c r="A173" s="12" t="s">
        <v>238</v>
      </c>
      <c r="B173" s="4" t="s">
        <v>281</v>
      </c>
      <c r="C173" s="4" t="s">
        <v>285</v>
      </c>
    </row>
    <row r="174">
      <c r="A174" s="12" t="s">
        <v>238</v>
      </c>
      <c r="B174" s="4" t="s">
        <v>281</v>
      </c>
      <c r="C174" s="4" t="s">
        <v>286</v>
      </c>
    </row>
    <row r="175">
      <c r="A175" s="12" t="s">
        <v>238</v>
      </c>
      <c r="B175" s="4" t="s">
        <v>281</v>
      </c>
      <c r="C175" s="4" t="s">
        <v>287</v>
      </c>
    </row>
    <row r="176">
      <c r="A176" s="4" t="s">
        <v>238</v>
      </c>
      <c r="B176" s="4" t="s">
        <v>288</v>
      </c>
      <c r="C176" s="4" t="s">
        <v>289</v>
      </c>
    </row>
    <row r="177">
      <c r="A177" s="4" t="s">
        <v>238</v>
      </c>
      <c r="B177" s="4" t="s">
        <v>290</v>
      </c>
      <c r="C177" s="4" t="s">
        <v>291</v>
      </c>
    </row>
    <row r="178">
      <c r="A178" s="4" t="s">
        <v>238</v>
      </c>
      <c r="B178" s="4" t="s">
        <v>292</v>
      </c>
      <c r="C178" s="4" t="s">
        <v>293</v>
      </c>
    </row>
    <row r="179">
      <c r="A179" s="4" t="s">
        <v>238</v>
      </c>
      <c r="B179" s="4" t="s">
        <v>292</v>
      </c>
      <c r="C179" s="4" t="s">
        <v>294</v>
      </c>
    </row>
    <row r="180">
      <c r="A180" s="4" t="s">
        <v>238</v>
      </c>
      <c r="B180" s="4" t="s">
        <v>292</v>
      </c>
      <c r="C180" s="4" t="s">
        <v>295</v>
      </c>
    </row>
    <row r="181">
      <c r="A181" s="4" t="s">
        <v>238</v>
      </c>
      <c r="B181" s="4" t="s">
        <v>292</v>
      </c>
      <c r="C181" s="4" t="s">
        <v>296</v>
      </c>
    </row>
    <row r="182">
      <c r="A182" s="4" t="s">
        <v>238</v>
      </c>
      <c r="B182" s="4" t="s">
        <v>292</v>
      </c>
      <c r="C182" s="4" t="s">
        <v>297</v>
      </c>
    </row>
    <row r="183">
      <c r="A183" s="4" t="s">
        <v>238</v>
      </c>
      <c r="B183" s="4" t="s">
        <v>292</v>
      </c>
      <c r="C183" s="4" t="s">
        <v>298</v>
      </c>
    </row>
    <row r="184">
      <c r="A184" s="4" t="s">
        <v>238</v>
      </c>
      <c r="B184" s="4" t="s">
        <v>292</v>
      </c>
      <c r="C184" s="4" t="s">
        <v>299</v>
      </c>
    </row>
    <row r="185">
      <c r="A185" s="4" t="s">
        <v>238</v>
      </c>
      <c r="B185" s="4" t="s">
        <v>292</v>
      </c>
      <c r="C185" s="4" t="s">
        <v>300</v>
      </c>
    </row>
    <row r="186">
      <c r="A186" s="4" t="s">
        <v>238</v>
      </c>
      <c r="B186" s="4" t="s">
        <v>292</v>
      </c>
      <c r="C186" s="4" t="s">
        <v>301</v>
      </c>
    </row>
    <row r="187">
      <c r="A187" s="4" t="s">
        <v>238</v>
      </c>
      <c r="B187" s="4" t="s">
        <v>292</v>
      </c>
      <c r="C187" s="4" t="s">
        <v>302</v>
      </c>
    </row>
    <row r="188">
      <c r="A188" s="4" t="s">
        <v>238</v>
      </c>
      <c r="B188" s="4" t="s">
        <v>292</v>
      </c>
      <c r="C188" s="4" t="s">
        <v>303</v>
      </c>
    </row>
    <row r="189">
      <c r="A189" s="4" t="s">
        <v>238</v>
      </c>
      <c r="B189" s="4" t="s">
        <v>292</v>
      </c>
      <c r="C189" s="4" t="s">
        <v>304</v>
      </c>
    </row>
    <row r="190">
      <c r="A190" s="4" t="s">
        <v>238</v>
      </c>
      <c r="B190" s="4" t="s">
        <v>292</v>
      </c>
      <c r="C190" s="4" t="s">
        <v>305</v>
      </c>
    </row>
    <row r="191">
      <c r="A191" s="4" t="s">
        <v>238</v>
      </c>
      <c r="B191" s="4" t="s">
        <v>292</v>
      </c>
      <c r="C191" s="4" t="s">
        <v>306</v>
      </c>
    </row>
    <row r="192">
      <c r="A192" s="4" t="s">
        <v>238</v>
      </c>
      <c r="B192" s="4" t="s">
        <v>292</v>
      </c>
      <c r="C192" s="4" t="s">
        <v>307</v>
      </c>
    </row>
    <row r="193">
      <c r="A193" s="4" t="s">
        <v>238</v>
      </c>
      <c r="B193" s="4" t="s">
        <v>308</v>
      </c>
      <c r="C193" s="4" t="s">
        <v>309</v>
      </c>
    </row>
    <row r="194">
      <c r="A194" s="4" t="s">
        <v>238</v>
      </c>
      <c r="B194" s="4" t="s">
        <v>308</v>
      </c>
      <c r="C194" s="4" t="s">
        <v>310</v>
      </c>
    </row>
    <row r="195">
      <c r="A195" s="4" t="s">
        <v>238</v>
      </c>
      <c r="B195" s="4" t="s">
        <v>308</v>
      </c>
      <c r="C195" s="4" t="s">
        <v>311</v>
      </c>
    </row>
    <row r="196">
      <c r="A196" s="4" t="s">
        <v>238</v>
      </c>
      <c r="B196" s="4" t="s">
        <v>308</v>
      </c>
      <c r="C196" s="4" t="s">
        <v>312</v>
      </c>
    </row>
    <row r="197">
      <c r="A197" s="4" t="s">
        <v>238</v>
      </c>
      <c r="B197" s="4" t="s">
        <v>308</v>
      </c>
      <c r="C197" s="4" t="s">
        <v>313</v>
      </c>
    </row>
    <row r="198">
      <c r="A198" s="4" t="s">
        <v>238</v>
      </c>
      <c r="B198" s="4" t="s">
        <v>308</v>
      </c>
      <c r="C198" s="4" t="s">
        <v>314</v>
      </c>
    </row>
    <row r="199">
      <c r="A199" s="4" t="s">
        <v>238</v>
      </c>
      <c r="B199" s="4" t="s">
        <v>308</v>
      </c>
      <c r="C199" s="4" t="s">
        <v>315</v>
      </c>
    </row>
    <row r="200">
      <c r="A200" s="4" t="s">
        <v>238</v>
      </c>
      <c r="B200" s="4" t="s">
        <v>308</v>
      </c>
      <c r="C200" s="4" t="s">
        <v>316</v>
      </c>
    </row>
    <row r="201">
      <c r="A201" s="4" t="s">
        <v>238</v>
      </c>
      <c r="B201" s="4" t="s">
        <v>308</v>
      </c>
      <c r="C201" s="4" t="s">
        <v>317</v>
      </c>
    </row>
    <row r="202">
      <c r="A202" s="4" t="s">
        <v>238</v>
      </c>
      <c r="B202" s="4" t="s">
        <v>308</v>
      </c>
      <c r="C202" s="4" t="s">
        <v>318</v>
      </c>
    </row>
    <row r="203">
      <c r="A203" s="4" t="s">
        <v>238</v>
      </c>
      <c r="B203" s="4" t="s">
        <v>308</v>
      </c>
      <c r="C203" s="4" t="s">
        <v>319</v>
      </c>
    </row>
    <row r="204">
      <c r="A204" s="4" t="s">
        <v>238</v>
      </c>
      <c r="B204" s="4" t="s">
        <v>308</v>
      </c>
      <c r="C204" s="4" t="s">
        <v>320</v>
      </c>
    </row>
    <row r="205">
      <c r="A205" s="4" t="s">
        <v>238</v>
      </c>
      <c r="B205" s="4" t="s">
        <v>308</v>
      </c>
      <c r="C205" s="4" t="s">
        <v>321</v>
      </c>
    </row>
    <row r="206">
      <c r="A206" s="4" t="s">
        <v>238</v>
      </c>
      <c r="B206" s="4" t="s">
        <v>308</v>
      </c>
      <c r="C206" s="4" t="s">
        <v>322</v>
      </c>
    </row>
    <row r="207">
      <c r="A207" s="4" t="s">
        <v>238</v>
      </c>
      <c r="B207" s="4" t="s">
        <v>308</v>
      </c>
      <c r="C207" s="4" t="s">
        <v>323</v>
      </c>
    </row>
    <row r="208">
      <c r="A208" s="4" t="s">
        <v>238</v>
      </c>
      <c r="B208" s="4" t="s">
        <v>324</v>
      </c>
      <c r="C208" s="4" t="s">
        <v>325</v>
      </c>
    </row>
    <row r="209">
      <c r="A209" s="4" t="s">
        <v>238</v>
      </c>
      <c r="B209" s="4" t="s">
        <v>326</v>
      </c>
      <c r="C209" s="4" t="s">
        <v>327</v>
      </c>
      <c r="L209" s="4">
        <v>1.0</v>
      </c>
    </row>
    <row r="210">
      <c r="A210" s="4" t="s">
        <v>238</v>
      </c>
      <c r="B210" s="4" t="s">
        <v>328</v>
      </c>
      <c r="C210" s="4" t="s">
        <v>329</v>
      </c>
      <c r="L210" s="4">
        <v>5.0</v>
      </c>
    </row>
    <row r="211">
      <c r="A211" s="4" t="s">
        <v>238</v>
      </c>
      <c r="B211" s="4" t="s">
        <v>330</v>
      </c>
      <c r="C211" s="4" t="s">
        <v>331</v>
      </c>
    </row>
    <row r="212">
      <c r="A212" s="4" t="s">
        <v>238</v>
      </c>
      <c r="B212" s="4" t="s">
        <v>330</v>
      </c>
      <c r="C212" s="4" t="s">
        <v>332</v>
      </c>
    </row>
    <row r="213">
      <c r="A213" s="4" t="s">
        <v>238</v>
      </c>
      <c r="B213" s="4" t="s">
        <v>330</v>
      </c>
      <c r="C213" s="4" t="s">
        <v>333</v>
      </c>
    </row>
    <row r="214">
      <c r="A214" s="4" t="s">
        <v>238</v>
      </c>
      <c r="B214" s="4" t="s">
        <v>334</v>
      </c>
      <c r="C214" s="4" t="s">
        <v>335</v>
      </c>
    </row>
    <row r="215">
      <c r="A215" s="4" t="s">
        <v>238</v>
      </c>
      <c r="B215" s="4" t="s">
        <v>334</v>
      </c>
      <c r="C215" s="4" t="s">
        <v>336</v>
      </c>
    </row>
    <row r="216">
      <c r="A216" s="4" t="s">
        <v>238</v>
      </c>
      <c r="B216" s="4" t="s">
        <v>334</v>
      </c>
      <c r="C216" s="4" t="s">
        <v>337</v>
      </c>
    </row>
    <row r="217">
      <c r="A217" s="4" t="s">
        <v>238</v>
      </c>
      <c r="B217" s="4" t="s">
        <v>338</v>
      </c>
      <c r="C217" s="4" t="s">
        <v>339</v>
      </c>
    </row>
    <row r="218">
      <c r="A218" s="4" t="s">
        <v>238</v>
      </c>
      <c r="B218" s="4" t="s">
        <v>338</v>
      </c>
      <c r="C218" s="4" t="s">
        <v>340</v>
      </c>
    </row>
    <row r="219">
      <c r="A219" s="4" t="s">
        <v>238</v>
      </c>
      <c r="B219" s="4" t="s">
        <v>338</v>
      </c>
      <c r="C219" s="4" t="s">
        <v>341</v>
      </c>
    </row>
    <row r="220">
      <c r="A220" s="4" t="s">
        <v>238</v>
      </c>
      <c r="B220" s="4" t="s">
        <v>338</v>
      </c>
      <c r="C220" s="4" t="s">
        <v>342</v>
      </c>
    </row>
    <row r="221">
      <c r="A221" s="4" t="s">
        <v>238</v>
      </c>
      <c r="B221" s="4" t="s">
        <v>338</v>
      </c>
      <c r="C221" s="4" t="s">
        <v>343</v>
      </c>
    </row>
    <row r="222">
      <c r="A222" s="4" t="s">
        <v>238</v>
      </c>
      <c r="B222" s="4" t="s">
        <v>338</v>
      </c>
      <c r="C222" s="4" t="s">
        <v>344</v>
      </c>
    </row>
    <row r="223">
      <c r="A223" s="4" t="s">
        <v>238</v>
      </c>
      <c r="B223" s="4" t="s">
        <v>345</v>
      </c>
      <c r="C223" s="4" t="s">
        <v>346</v>
      </c>
    </row>
    <row r="224">
      <c r="A224" s="4" t="s">
        <v>238</v>
      </c>
      <c r="B224" s="4" t="s">
        <v>345</v>
      </c>
      <c r="C224" s="4" t="s">
        <v>347</v>
      </c>
    </row>
    <row r="225">
      <c r="A225" s="4" t="s">
        <v>238</v>
      </c>
      <c r="B225" s="4" t="s">
        <v>345</v>
      </c>
      <c r="C225" s="4" t="s">
        <v>348</v>
      </c>
    </row>
    <row r="226">
      <c r="A226" s="4" t="s">
        <v>238</v>
      </c>
      <c r="B226" s="4" t="s">
        <v>345</v>
      </c>
      <c r="C226" s="4" t="s">
        <v>349</v>
      </c>
    </row>
    <row r="227">
      <c r="A227" s="4" t="s">
        <v>238</v>
      </c>
      <c r="B227" s="4" t="s">
        <v>345</v>
      </c>
      <c r="C227" s="4" t="s">
        <v>349</v>
      </c>
    </row>
    <row r="228">
      <c r="A228" s="4" t="s">
        <v>238</v>
      </c>
      <c r="B228" s="4" t="s">
        <v>345</v>
      </c>
      <c r="C228" s="4" t="s">
        <v>350</v>
      </c>
    </row>
    <row r="229">
      <c r="A229" s="4" t="s">
        <v>238</v>
      </c>
      <c r="B229" s="4" t="s">
        <v>345</v>
      </c>
      <c r="C229" s="4" t="s">
        <v>351</v>
      </c>
    </row>
    <row r="230">
      <c r="A230" s="4" t="s">
        <v>238</v>
      </c>
      <c r="B230" s="4" t="s">
        <v>345</v>
      </c>
      <c r="C230" s="4" t="s">
        <v>352</v>
      </c>
    </row>
    <row r="231">
      <c r="A231" s="4" t="s">
        <v>238</v>
      </c>
      <c r="B231" s="4" t="s">
        <v>353</v>
      </c>
      <c r="C231" s="4" t="s">
        <v>354</v>
      </c>
    </row>
    <row r="232">
      <c r="A232" s="4" t="s">
        <v>238</v>
      </c>
      <c r="B232" s="4" t="s">
        <v>353</v>
      </c>
      <c r="C232" s="4" t="s">
        <v>355</v>
      </c>
    </row>
    <row r="233">
      <c r="A233" s="4" t="s">
        <v>238</v>
      </c>
      <c r="B233" s="4" t="s">
        <v>353</v>
      </c>
      <c r="C233" s="4" t="s">
        <v>356</v>
      </c>
    </row>
    <row r="234">
      <c r="A234" s="4" t="s">
        <v>238</v>
      </c>
      <c r="B234" s="4" t="s">
        <v>353</v>
      </c>
      <c r="C234" s="4" t="s">
        <v>357</v>
      </c>
    </row>
    <row r="235">
      <c r="A235" s="4" t="s">
        <v>238</v>
      </c>
      <c r="B235" s="4" t="s">
        <v>353</v>
      </c>
      <c r="C235" s="4" t="s">
        <v>358</v>
      </c>
    </row>
    <row r="236">
      <c r="A236" s="4" t="s">
        <v>238</v>
      </c>
      <c r="B236" s="4" t="s">
        <v>353</v>
      </c>
      <c r="C236" s="4" t="s">
        <v>359</v>
      </c>
    </row>
    <row r="237">
      <c r="A237" s="4" t="s">
        <v>238</v>
      </c>
      <c r="B237" s="4" t="s">
        <v>353</v>
      </c>
      <c r="C237" s="4" t="s">
        <v>360</v>
      </c>
    </row>
    <row r="238">
      <c r="A238" s="4" t="s">
        <v>238</v>
      </c>
      <c r="B238" s="4" t="s">
        <v>353</v>
      </c>
      <c r="C238" s="4" t="s">
        <v>361</v>
      </c>
    </row>
    <row r="239">
      <c r="A239" s="4" t="s">
        <v>238</v>
      </c>
      <c r="B239" s="4" t="s">
        <v>353</v>
      </c>
      <c r="C239" s="4" t="s">
        <v>362</v>
      </c>
    </row>
    <row r="240">
      <c r="A240" s="4" t="s">
        <v>238</v>
      </c>
      <c r="B240" s="4" t="s">
        <v>353</v>
      </c>
      <c r="C240" s="4" t="s">
        <v>363</v>
      </c>
    </row>
    <row r="241">
      <c r="A241" s="4" t="s">
        <v>238</v>
      </c>
      <c r="B241" s="4" t="s">
        <v>353</v>
      </c>
      <c r="C241" s="4" t="s">
        <v>364</v>
      </c>
    </row>
    <row r="242">
      <c r="A242" s="4" t="s">
        <v>238</v>
      </c>
      <c r="B242" s="4" t="s">
        <v>353</v>
      </c>
      <c r="C242" s="4" t="s">
        <v>365</v>
      </c>
    </row>
    <row r="243">
      <c r="A243" s="4" t="s">
        <v>238</v>
      </c>
      <c r="B243" s="4" t="s">
        <v>366</v>
      </c>
      <c r="C243" s="4" t="s">
        <v>367</v>
      </c>
    </row>
    <row r="244">
      <c r="A244" s="4" t="s">
        <v>238</v>
      </c>
      <c r="B244" s="4" t="s">
        <v>366</v>
      </c>
      <c r="C244" s="4" t="s">
        <v>368</v>
      </c>
    </row>
    <row r="245">
      <c r="A245" s="4" t="s">
        <v>238</v>
      </c>
      <c r="B245" s="4" t="s">
        <v>366</v>
      </c>
      <c r="C245" s="4" t="s">
        <v>369</v>
      </c>
    </row>
    <row r="246">
      <c r="A246" s="4" t="s">
        <v>238</v>
      </c>
      <c r="B246" s="4" t="s">
        <v>366</v>
      </c>
      <c r="C246" s="4" t="s">
        <v>370</v>
      </c>
    </row>
    <row r="247">
      <c r="A247" s="4" t="s">
        <v>238</v>
      </c>
      <c r="B247" s="4" t="s">
        <v>366</v>
      </c>
      <c r="C247" s="4" t="s">
        <v>371</v>
      </c>
    </row>
    <row r="248">
      <c r="A248" s="4" t="s">
        <v>238</v>
      </c>
      <c r="B248" s="4" t="s">
        <v>366</v>
      </c>
      <c r="C248" s="4" t="s">
        <v>372</v>
      </c>
    </row>
    <row r="249">
      <c r="A249" s="4" t="s">
        <v>238</v>
      </c>
      <c r="B249" s="4" t="s">
        <v>366</v>
      </c>
      <c r="C249" s="4" t="s">
        <v>373</v>
      </c>
    </row>
    <row r="250">
      <c r="A250" s="4" t="s">
        <v>238</v>
      </c>
      <c r="B250" s="4" t="s">
        <v>366</v>
      </c>
      <c r="C250" s="4" t="s">
        <v>374</v>
      </c>
    </row>
    <row r="251">
      <c r="A251" s="4" t="s">
        <v>238</v>
      </c>
      <c r="B251" s="4" t="s">
        <v>366</v>
      </c>
      <c r="C251" s="4" t="s">
        <v>375</v>
      </c>
    </row>
    <row r="252">
      <c r="A252" s="4" t="s">
        <v>238</v>
      </c>
      <c r="B252" s="4" t="s">
        <v>376</v>
      </c>
      <c r="C252" s="4" t="s">
        <v>377</v>
      </c>
    </row>
    <row r="253">
      <c r="A253" s="4" t="s">
        <v>238</v>
      </c>
      <c r="B253" s="4" t="s">
        <v>376</v>
      </c>
      <c r="C253" s="4" t="s">
        <v>378</v>
      </c>
    </row>
    <row r="254">
      <c r="A254" s="4" t="s">
        <v>238</v>
      </c>
      <c r="B254" s="4" t="s">
        <v>379</v>
      </c>
      <c r="C254" s="4" t="s">
        <v>380</v>
      </c>
    </row>
    <row r="255">
      <c r="A255" s="4" t="s">
        <v>238</v>
      </c>
      <c r="B255" s="4" t="s">
        <v>379</v>
      </c>
      <c r="C255" s="4" t="s">
        <v>381</v>
      </c>
    </row>
    <row r="256">
      <c r="A256" s="4" t="s">
        <v>238</v>
      </c>
      <c r="B256" s="4" t="s">
        <v>379</v>
      </c>
      <c r="C256" s="4" t="s">
        <v>382</v>
      </c>
    </row>
    <row r="257">
      <c r="A257" s="4" t="s">
        <v>238</v>
      </c>
      <c r="B257" s="4" t="s">
        <v>379</v>
      </c>
      <c r="C257" s="4" t="s">
        <v>383</v>
      </c>
    </row>
    <row r="258">
      <c r="A258" s="4" t="s">
        <v>238</v>
      </c>
      <c r="B258" s="4" t="s">
        <v>379</v>
      </c>
      <c r="C258" s="4" t="s">
        <v>384</v>
      </c>
    </row>
    <row r="259">
      <c r="A259" s="4" t="s">
        <v>238</v>
      </c>
      <c r="B259" s="4" t="s">
        <v>379</v>
      </c>
      <c r="C259" s="4" t="s">
        <v>385</v>
      </c>
    </row>
    <row r="260">
      <c r="A260" s="4" t="s">
        <v>238</v>
      </c>
      <c r="B260" s="4" t="s">
        <v>379</v>
      </c>
      <c r="C260" s="4" t="s">
        <v>386</v>
      </c>
    </row>
    <row r="261">
      <c r="A261" s="4" t="s">
        <v>238</v>
      </c>
      <c r="B261" s="4" t="s">
        <v>379</v>
      </c>
      <c r="C261" s="4" t="s">
        <v>387</v>
      </c>
    </row>
    <row r="262">
      <c r="A262" s="4" t="s">
        <v>238</v>
      </c>
      <c r="B262" s="4" t="s">
        <v>379</v>
      </c>
      <c r="C262" s="4" t="s">
        <v>388</v>
      </c>
    </row>
    <row r="263">
      <c r="A263" s="4" t="s">
        <v>238</v>
      </c>
      <c r="B263" s="4" t="s">
        <v>379</v>
      </c>
      <c r="C263" s="4" t="s">
        <v>389</v>
      </c>
    </row>
    <row r="264">
      <c r="A264" s="4" t="s">
        <v>238</v>
      </c>
      <c r="B264" s="4" t="s">
        <v>379</v>
      </c>
      <c r="C264" s="4" t="s">
        <v>390</v>
      </c>
    </row>
    <row r="265">
      <c r="A265" s="4" t="s">
        <v>238</v>
      </c>
      <c r="B265" s="4" t="s">
        <v>379</v>
      </c>
      <c r="C265" s="4" t="s">
        <v>391</v>
      </c>
    </row>
    <row r="266">
      <c r="A266" s="4" t="s">
        <v>238</v>
      </c>
      <c r="B266" s="4" t="s">
        <v>379</v>
      </c>
      <c r="C266" s="4" t="s">
        <v>392</v>
      </c>
    </row>
    <row r="267">
      <c r="A267" s="4" t="s">
        <v>238</v>
      </c>
      <c r="B267" s="4" t="s">
        <v>379</v>
      </c>
      <c r="C267" s="4" t="s">
        <v>393</v>
      </c>
    </row>
    <row r="268">
      <c r="A268" s="4" t="s">
        <v>238</v>
      </c>
      <c r="B268" s="4" t="s">
        <v>379</v>
      </c>
      <c r="C268" s="4" t="s">
        <v>394</v>
      </c>
    </row>
    <row r="269">
      <c r="A269" s="4" t="s">
        <v>238</v>
      </c>
      <c r="B269" s="4" t="s">
        <v>379</v>
      </c>
      <c r="C269" s="4" t="s">
        <v>395</v>
      </c>
    </row>
    <row r="270">
      <c r="A270" s="4" t="s">
        <v>238</v>
      </c>
      <c r="B270" s="4" t="s">
        <v>379</v>
      </c>
      <c r="C270" s="4" t="s">
        <v>396</v>
      </c>
    </row>
    <row r="271">
      <c r="A271" s="4" t="s">
        <v>238</v>
      </c>
      <c r="B271" s="4" t="s">
        <v>379</v>
      </c>
      <c r="C271" s="4" t="s">
        <v>397</v>
      </c>
    </row>
    <row r="272">
      <c r="A272" s="4" t="s">
        <v>238</v>
      </c>
      <c r="B272" s="4" t="s">
        <v>379</v>
      </c>
      <c r="C272" s="4" t="s">
        <v>398</v>
      </c>
    </row>
    <row r="273">
      <c r="A273" s="4" t="s">
        <v>238</v>
      </c>
      <c r="B273" s="4" t="s">
        <v>379</v>
      </c>
      <c r="C273" s="4" t="s">
        <v>399</v>
      </c>
    </row>
    <row r="274">
      <c r="A274" s="4" t="s">
        <v>238</v>
      </c>
      <c r="B274" s="4" t="s">
        <v>379</v>
      </c>
      <c r="C274" s="4" t="s">
        <v>400</v>
      </c>
    </row>
    <row r="275">
      <c r="A275" s="4" t="s">
        <v>238</v>
      </c>
      <c r="B275" s="4" t="s">
        <v>379</v>
      </c>
      <c r="C275" s="4" t="s">
        <v>401</v>
      </c>
    </row>
    <row r="276">
      <c r="A276" s="4" t="s">
        <v>238</v>
      </c>
      <c r="B276" s="4" t="s">
        <v>379</v>
      </c>
      <c r="C276" s="4" t="s">
        <v>402</v>
      </c>
    </row>
    <row r="277">
      <c r="A277" s="4" t="s">
        <v>238</v>
      </c>
      <c r="B277" s="4" t="s">
        <v>379</v>
      </c>
      <c r="C277" s="4" t="s">
        <v>403</v>
      </c>
    </row>
    <row r="278">
      <c r="A278" s="4" t="s">
        <v>238</v>
      </c>
      <c r="B278" s="4" t="s">
        <v>379</v>
      </c>
      <c r="C278" s="4" t="s">
        <v>404</v>
      </c>
    </row>
    <row r="279">
      <c r="A279" s="4" t="s">
        <v>238</v>
      </c>
      <c r="B279" s="4" t="s">
        <v>379</v>
      </c>
      <c r="C279" s="4" t="s">
        <v>405</v>
      </c>
    </row>
    <row r="280">
      <c r="A280" s="4" t="s">
        <v>238</v>
      </c>
      <c r="B280" s="4" t="s">
        <v>379</v>
      </c>
      <c r="C280" s="4" t="s">
        <v>406</v>
      </c>
    </row>
    <row r="281">
      <c r="A281" s="4" t="s">
        <v>238</v>
      </c>
      <c r="B281" s="4" t="s">
        <v>379</v>
      </c>
      <c r="C281" s="4" t="s">
        <v>407</v>
      </c>
    </row>
    <row r="282">
      <c r="A282" s="4" t="s">
        <v>238</v>
      </c>
      <c r="B282" s="4" t="s">
        <v>408</v>
      </c>
      <c r="C282" s="4" t="s">
        <v>409</v>
      </c>
    </row>
    <row r="283">
      <c r="A283" s="4" t="s">
        <v>238</v>
      </c>
      <c r="B283" s="4" t="s">
        <v>410</v>
      </c>
      <c r="C283" s="4" t="s">
        <v>411</v>
      </c>
    </row>
    <row r="284">
      <c r="A284" s="13" t="s">
        <v>238</v>
      </c>
      <c r="B284" s="4" t="s">
        <v>410</v>
      </c>
      <c r="C284" s="4" t="s">
        <v>412</v>
      </c>
    </row>
    <row r="285">
      <c r="A285" s="13" t="s">
        <v>238</v>
      </c>
      <c r="B285" s="4" t="s">
        <v>410</v>
      </c>
      <c r="C285" s="4" t="s">
        <v>413</v>
      </c>
    </row>
    <row r="286">
      <c r="A286" s="12" t="s">
        <v>238</v>
      </c>
      <c r="B286" s="12" t="s">
        <v>410</v>
      </c>
      <c r="C286" s="4" t="s">
        <v>414</v>
      </c>
    </row>
    <row r="287">
      <c r="A287" s="4" t="s">
        <v>238</v>
      </c>
      <c r="B287" s="4" t="s">
        <v>415</v>
      </c>
      <c r="C287" s="4" t="s">
        <v>416</v>
      </c>
    </row>
    <row r="288">
      <c r="A288" s="4" t="s">
        <v>238</v>
      </c>
      <c r="B288" s="4" t="s">
        <v>417</v>
      </c>
      <c r="C288" s="4" t="s">
        <v>418</v>
      </c>
    </row>
    <row r="289">
      <c r="A289" s="4" t="s">
        <v>238</v>
      </c>
      <c r="B289" s="4" t="s">
        <v>417</v>
      </c>
      <c r="C289" s="4" t="s">
        <v>419</v>
      </c>
    </row>
    <row r="290">
      <c r="A290" s="4" t="s">
        <v>238</v>
      </c>
      <c r="B290" s="4" t="s">
        <v>417</v>
      </c>
      <c r="C290" s="4" t="s">
        <v>420</v>
      </c>
    </row>
    <row r="291">
      <c r="A291" s="4" t="s">
        <v>238</v>
      </c>
      <c r="B291" s="4" t="s">
        <v>417</v>
      </c>
      <c r="C291" s="4" t="s">
        <v>421</v>
      </c>
    </row>
    <row r="292">
      <c r="A292" s="4" t="s">
        <v>238</v>
      </c>
      <c r="B292" s="4" t="s">
        <v>417</v>
      </c>
      <c r="C292" s="4" t="s">
        <v>422</v>
      </c>
    </row>
    <row r="293">
      <c r="A293" s="4" t="s">
        <v>238</v>
      </c>
      <c r="B293" s="4" t="s">
        <v>417</v>
      </c>
      <c r="C293" s="4" t="s">
        <v>423</v>
      </c>
    </row>
    <row r="294">
      <c r="A294" s="13" t="s">
        <v>238</v>
      </c>
      <c r="B294" s="13" t="s">
        <v>417</v>
      </c>
      <c r="C294" s="4" t="s">
        <v>424</v>
      </c>
    </row>
    <row r="295">
      <c r="A295" s="13" t="s">
        <v>238</v>
      </c>
      <c r="B295" s="13" t="s">
        <v>417</v>
      </c>
      <c r="C295" s="4" t="s">
        <v>425</v>
      </c>
    </row>
    <row r="296">
      <c r="A296" s="12" t="s">
        <v>238</v>
      </c>
      <c r="B296" s="12" t="s">
        <v>417</v>
      </c>
      <c r="C296" s="4" t="s">
        <v>426</v>
      </c>
    </row>
    <row r="297">
      <c r="A297" s="4" t="s">
        <v>238</v>
      </c>
      <c r="B297" s="4" t="s">
        <v>417</v>
      </c>
      <c r="C297" s="4" t="s">
        <v>427</v>
      </c>
    </row>
    <row r="298">
      <c r="A298" s="4" t="s">
        <v>238</v>
      </c>
      <c r="B298" s="4" t="s">
        <v>417</v>
      </c>
      <c r="C298" s="4" t="s">
        <v>428</v>
      </c>
    </row>
    <row r="299">
      <c r="A299" s="4" t="s">
        <v>238</v>
      </c>
      <c r="B299" s="4" t="s">
        <v>417</v>
      </c>
      <c r="C299" s="4" t="s">
        <v>429</v>
      </c>
    </row>
    <row r="300">
      <c r="A300" s="4" t="s">
        <v>238</v>
      </c>
      <c r="B300" s="4" t="s">
        <v>417</v>
      </c>
      <c r="C300" s="4" t="s">
        <v>430</v>
      </c>
    </row>
    <row r="301">
      <c r="A301" s="4" t="s">
        <v>238</v>
      </c>
      <c r="B301" s="4" t="s">
        <v>417</v>
      </c>
      <c r="C301" s="4" t="s">
        <v>431</v>
      </c>
      <c r="E301" s="4">
        <v>1.0</v>
      </c>
      <c r="J301" s="4">
        <v>1.0</v>
      </c>
      <c r="K301" s="4">
        <v>1.0</v>
      </c>
    </row>
    <row r="302">
      <c r="A302" s="4" t="s">
        <v>238</v>
      </c>
      <c r="B302" s="4" t="s">
        <v>417</v>
      </c>
      <c r="C302" s="4" t="s">
        <v>432</v>
      </c>
    </row>
    <row r="303">
      <c r="A303" s="4" t="s">
        <v>238</v>
      </c>
      <c r="B303" s="4" t="s">
        <v>417</v>
      </c>
      <c r="C303" s="4" t="s">
        <v>433</v>
      </c>
    </row>
    <row r="304">
      <c r="A304" s="4" t="s">
        <v>238</v>
      </c>
      <c r="B304" s="4" t="s">
        <v>417</v>
      </c>
      <c r="C304" s="4" t="s">
        <v>434</v>
      </c>
    </row>
    <row r="305">
      <c r="A305" s="4" t="s">
        <v>238</v>
      </c>
      <c r="B305" s="4" t="s">
        <v>417</v>
      </c>
      <c r="C305" s="4" t="s">
        <v>435</v>
      </c>
    </row>
    <row r="306">
      <c r="A306" s="4" t="s">
        <v>238</v>
      </c>
      <c r="B306" s="4" t="s">
        <v>417</v>
      </c>
      <c r="C306" s="4" t="s">
        <v>436</v>
      </c>
    </row>
    <row r="307">
      <c r="A307" s="4" t="s">
        <v>238</v>
      </c>
      <c r="B307" s="4" t="s">
        <v>417</v>
      </c>
      <c r="C307" s="4" t="s">
        <v>437</v>
      </c>
    </row>
    <row r="308">
      <c r="A308" s="4" t="s">
        <v>238</v>
      </c>
      <c r="B308" s="4" t="s">
        <v>417</v>
      </c>
      <c r="C308" s="4" t="s">
        <v>438</v>
      </c>
    </row>
    <row r="309">
      <c r="A309" s="4" t="s">
        <v>238</v>
      </c>
      <c r="B309" s="4" t="s">
        <v>417</v>
      </c>
      <c r="C309" s="4" t="s">
        <v>439</v>
      </c>
    </row>
    <row r="310">
      <c r="A310" s="4" t="s">
        <v>238</v>
      </c>
      <c r="B310" s="4" t="s">
        <v>417</v>
      </c>
      <c r="C310" s="4" t="s">
        <v>440</v>
      </c>
    </row>
    <row r="311">
      <c r="A311" s="4" t="s">
        <v>238</v>
      </c>
      <c r="B311" s="4" t="s">
        <v>417</v>
      </c>
      <c r="C311" s="4" t="s">
        <v>441</v>
      </c>
    </row>
    <row r="312">
      <c r="A312" s="4" t="s">
        <v>238</v>
      </c>
      <c r="B312" s="4" t="s">
        <v>417</v>
      </c>
      <c r="C312" s="4" t="s">
        <v>442</v>
      </c>
      <c r="E312" s="4">
        <v>1.0</v>
      </c>
    </row>
    <row r="313">
      <c r="A313" s="4" t="s">
        <v>238</v>
      </c>
      <c r="B313" s="4" t="s">
        <v>417</v>
      </c>
      <c r="C313" s="4" t="s">
        <v>443</v>
      </c>
    </row>
    <row r="314">
      <c r="A314" s="4" t="s">
        <v>238</v>
      </c>
      <c r="B314" s="4" t="s">
        <v>417</v>
      </c>
      <c r="C314" s="4" t="s">
        <v>444</v>
      </c>
    </row>
    <row r="315">
      <c r="A315" s="4" t="s">
        <v>238</v>
      </c>
      <c r="B315" s="4" t="s">
        <v>417</v>
      </c>
      <c r="C315" s="4" t="s">
        <v>445</v>
      </c>
    </row>
    <row r="316">
      <c r="A316" s="4" t="s">
        <v>238</v>
      </c>
      <c r="B316" s="4" t="s">
        <v>417</v>
      </c>
      <c r="C316" s="4" t="s">
        <v>446</v>
      </c>
      <c r="O316" s="4">
        <v>1.0</v>
      </c>
      <c r="R316" s="4">
        <v>1.0</v>
      </c>
    </row>
    <row r="317">
      <c r="A317" s="4" t="s">
        <v>238</v>
      </c>
      <c r="B317" s="4" t="s">
        <v>417</v>
      </c>
      <c r="C317" s="4" t="s">
        <v>447</v>
      </c>
    </row>
    <row r="318">
      <c r="A318" s="4" t="s">
        <v>238</v>
      </c>
      <c r="B318" s="4" t="s">
        <v>417</v>
      </c>
      <c r="C318" s="4" t="s">
        <v>448</v>
      </c>
    </row>
    <row r="319">
      <c r="A319" s="4" t="s">
        <v>238</v>
      </c>
      <c r="B319" s="4" t="s">
        <v>417</v>
      </c>
      <c r="C319" s="4" t="s">
        <v>449</v>
      </c>
      <c r="Q319" s="4">
        <v>1.0</v>
      </c>
    </row>
    <row r="320">
      <c r="A320" s="4" t="s">
        <v>238</v>
      </c>
      <c r="B320" s="4" t="s">
        <v>417</v>
      </c>
      <c r="C320" s="4" t="s">
        <v>450</v>
      </c>
    </row>
    <row r="321">
      <c r="A321" s="4" t="s">
        <v>238</v>
      </c>
      <c r="B321" s="4" t="s">
        <v>417</v>
      </c>
      <c r="C321" s="4" t="s">
        <v>451</v>
      </c>
    </row>
    <row r="322">
      <c r="A322" s="4" t="s">
        <v>238</v>
      </c>
      <c r="B322" s="4" t="s">
        <v>417</v>
      </c>
      <c r="C322" s="4" t="s">
        <v>452</v>
      </c>
    </row>
    <row r="323">
      <c r="A323" s="4" t="s">
        <v>238</v>
      </c>
      <c r="B323" s="4" t="s">
        <v>417</v>
      </c>
      <c r="C323" s="4" t="s">
        <v>453</v>
      </c>
      <c r="U323" s="4">
        <v>1.0</v>
      </c>
    </row>
    <row r="324">
      <c r="A324" s="4" t="s">
        <v>238</v>
      </c>
      <c r="B324" s="4" t="s">
        <v>417</v>
      </c>
      <c r="C324" s="4" t="s">
        <v>454</v>
      </c>
    </row>
    <row r="325">
      <c r="A325" s="4" t="s">
        <v>238</v>
      </c>
      <c r="B325" s="4" t="s">
        <v>417</v>
      </c>
      <c r="C325" s="4" t="s">
        <v>455</v>
      </c>
    </row>
    <row r="326">
      <c r="A326" s="4" t="s">
        <v>238</v>
      </c>
      <c r="B326" s="4" t="s">
        <v>417</v>
      </c>
      <c r="C326" s="4" t="s">
        <v>456</v>
      </c>
    </row>
    <row r="327">
      <c r="A327" s="4" t="s">
        <v>238</v>
      </c>
      <c r="B327" s="4" t="s">
        <v>417</v>
      </c>
      <c r="C327" s="4" t="s">
        <v>457</v>
      </c>
      <c r="J327" s="4">
        <v>1.0</v>
      </c>
      <c r="Q327" s="4">
        <v>1.0</v>
      </c>
    </row>
    <row r="328">
      <c r="A328" s="4" t="s">
        <v>238</v>
      </c>
      <c r="B328" s="4" t="s">
        <v>417</v>
      </c>
      <c r="C328" s="4" t="s">
        <v>458</v>
      </c>
      <c r="AB328" s="4">
        <v>1.0</v>
      </c>
    </row>
    <row r="329">
      <c r="A329" s="4" t="s">
        <v>238</v>
      </c>
      <c r="B329" s="4" t="s">
        <v>417</v>
      </c>
      <c r="C329" s="4" t="s">
        <v>459</v>
      </c>
    </row>
    <row r="330">
      <c r="A330" s="4" t="s">
        <v>238</v>
      </c>
      <c r="B330" s="4" t="s">
        <v>417</v>
      </c>
      <c r="C330" s="4" t="s">
        <v>460</v>
      </c>
    </row>
    <row r="331">
      <c r="A331" s="4" t="s">
        <v>238</v>
      </c>
      <c r="B331" s="4" t="s">
        <v>417</v>
      </c>
      <c r="C331" s="4" t="s">
        <v>461</v>
      </c>
    </row>
    <row r="332">
      <c r="A332" s="4" t="s">
        <v>238</v>
      </c>
      <c r="B332" s="4" t="s">
        <v>417</v>
      </c>
      <c r="C332" s="4" t="s">
        <v>462</v>
      </c>
      <c r="K332" s="4">
        <v>1.0</v>
      </c>
      <c r="L332" s="4">
        <v>1.0</v>
      </c>
      <c r="M332" s="4">
        <v>1.0</v>
      </c>
      <c r="S332" s="4">
        <v>1.0</v>
      </c>
    </row>
    <row r="333">
      <c r="A333" s="4" t="s">
        <v>238</v>
      </c>
      <c r="B333" s="4" t="s">
        <v>417</v>
      </c>
      <c r="C333" s="4" t="s">
        <v>463</v>
      </c>
    </row>
    <row r="334">
      <c r="A334" s="4" t="s">
        <v>238</v>
      </c>
      <c r="B334" s="4" t="s">
        <v>417</v>
      </c>
      <c r="C334" s="4" t="s">
        <v>464</v>
      </c>
    </row>
    <row r="335">
      <c r="A335" s="4" t="s">
        <v>238</v>
      </c>
      <c r="B335" s="4" t="s">
        <v>417</v>
      </c>
      <c r="C335" s="4" t="s">
        <v>465</v>
      </c>
      <c r="D335" s="4">
        <v>2.0</v>
      </c>
      <c r="J335" s="4">
        <v>1.0</v>
      </c>
      <c r="S335" s="4">
        <v>1.0</v>
      </c>
    </row>
    <row r="336">
      <c r="A336" s="4" t="s">
        <v>238</v>
      </c>
      <c r="B336" s="4" t="s">
        <v>417</v>
      </c>
      <c r="C336" s="4" t="s">
        <v>466</v>
      </c>
      <c r="U336" s="4">
        <v>1.0</v>
      </c>
    </row>
    <row r="337">
      <c r="A337" s="13" t="s">
        <v>238</v>
      </c>
      <c r="B337" s="13" t="s">
        <v>417</v>
      </c>
      <c r="C337" s="4" t="s">
        <v>467</v>
      </c>
    </row>
    <row r="338">
      <c r="A338" s="13" t="s">
        <v>238</v>
      </c>
      <c r="B338" s="13" t="s">
        <v>417</v>
      </c>
      <c r="C338" s="4" t="s">
        <v>468</v>
      </c>
    </row>
    <row r="339">
      <c r="A339" s="13" t="s">
        <v>238</v>
      </c>
      <c r="B339" s="13" t="s">
        <v>417</v>
      </c>
      <c r="C339" s="4" t="s">
        <v>469</v>
      </c>
      <c r="E339" s="4">
        <v>1.0</v>
      </c>
      <c r="G339" s="4">
        <v>1.0</v>
      </c>
      <c r="I339" s="4">
        <v>1.0</v>
      </c>
      <c r="K339" s="4">
        <v>1.0</v>
      </c>
      <c r="Q339" s="4">
        <v>1.0</v>
      </c>
    </row>
    <row r="340">
      <c r="A340" s="13" t="s">
        <v>238</v>
      </c>
      <c r="B340" s="13" t="s">
        <v>417</v>
      </c>
      <c r="C340" s="4" t="s">
        <v>470</v>
      </c>
    </row>
    <row r="341">
      <c r="A341" s="13" t="s">
        <v>238</v>
      </c>
      <c r="B341" s="13" t="s">
        <v>417</v>
      </c>
      <c r="C341" s="4" t="s">
        <v>471</v>
      </c>
    </row>
    <row r="342">
      <c r="A342" s="13" t="s">
        <v>238</v>
      </c>
      <c r="B342" s="13" t="s">
        <v>417</v>
      </c>
      <c r="C342" s="4" t="s">
        <v>472</v>
      </c>
    </row>
    <row r="343">
      <c r="A343" s="13" t="s">
        <v>238</v>
      </c>
      <c r="B343" s="13" t="s">
        <v>417</v>
      </c>
      <c r="C343" s="4" t="s">
        <v>473</v>
      </c>
    </row>
    <row r="344">
      <c r="A344" s="13" t="s">
        <v>238</v>
      </c>
      <c r="B344" s="13" t="s">
        <v>417</v>
      </c>
      <c r="C344" s="4" t="s">
        <v>474</v>
      </c>
    </row>
    <row r="345">
      <c r="A345" s="13" t="s">
        <v>238</v>
      </c>
      <c r="B345" s="13" t="s">
        <v>417</v>
      </c>
      <c r="C345" s="4" t="s">
        <v>475</v>
      </c>
    </row>
    <row r="346">
      <c r="A346" s="13" t="s">
        <v>238</v>
      </c>
      <c r="B346" s="13" t="s">
        <v>417</v>
      </c>
      <c r="C346" s="4" t="s">
        <v>476</v>
      </c>
    </row>
    <row r="347">
      <c r="A347" s="13" t="s">
        <v>238</v>
      </c>
      <c r="B347" s="13" t="s">
        <v>417</v>
      </c>
      <c r="C347" s="4" t="s">
        <v>477</v>
      </c>
    </row>
    <row r="348">
      <c r="A348" s="4" t="s">
        <v>238</v>
      </c>
      <c r="B348" s="4" t="s">
        <v>417</v>
      </c>
      <c r="C348" s="4" t="s">
        <v>478</v>
      </c>
    </row>
    <row r="349">
      <c r="A349" s="13" t="s">
        <v>238</v>
      </c>
      <c r="B349" s="13" t="s">
        <v>417</v>
      </c>
      <c r="C349" s="4" t="s">
        <v>479</v>
      </c>
    </row>
    <row r="350">
      <c r="A350" s="4" t="s">
        <v>238</v>
      </c>
      <c r="B350" s="4" t="s">
        <v>417</v>
      </c>
      <c r="C350" s="4" t="s">
        <v>480</v>
      </c>
      <c r="G350" s="4">
        <v>1.0</v>
      </c>
      <c r="L350" s="4">
        <v>1.0</v>
      </c>
    </row>
    <row r="351">
      <c r="A351" s="4" t="s">
        <v>238</v>
      </c>
      <c r="B351" s="4" t="s">
        <v>417</v>
      </c>
      <c r="C351" s="4" t="s">
        <v>481</v>
      </c>
    </row>
    <row r="352">
      <c r="A352" s="4" t="s">
        <v>238</v>
      </c>
      <c r="B352" s="4" t="s">
        <v>417</v>
      </c>
      <c r="C352" s="4" t="s">
        <v>482</v>
      </c>
    </row>
    <row r="353">
      <c r="A353" s="4" t="s">
        <v>238</v>
      </c>
      <c r="B353" s="4" t="s">
        <v>417</v>
      </c>
      <c r="C353" s="4" t="s">
        <v>483</v>
      </c>
    </row>
    <row r="354">
      <c r="A354" s="4" t="s">
        <v>238</v>
      </c>
      <c r="B354" s="4" t="s">
        <v>417</v>
      </c>
      <c r="C354" s="4" t="s">
        <v>484</v>
      </c>
    </row>
    <row r="355">
      <c r="A355" s="4" t="s">
        <v>238</v>
      </c>
      <c r="B355" s="4" t="s">
        <v>417</v>
      </c>
      <c r="C355" s="4" t="s">
        <v>485</v>
      </c>
      <c r="E355" s="4">
        <v>1.0</v>
      </c>
      <c r="J355" s="4">
        <v>1.0</v>
      </c>
      <c r="K355" s="4">
        <v>1.0</v>
      </c>
    </row>
    <row r="356">
      <c r="A356" s="4" t="s">
        <v>238</v>
      </c>
      <c r="B356" s="4" t="s">
        <v>417</v>
      </c>
      <c r="C356" s="4" t="s">
        <v>486</v>
      </c>
      <c r="D356" s="4">
        <v>1.0</v>
      </c>
    </row>
    <row r="357">
      <c r="A357" s="4" t="s">
        <v>238</v>
      </c>
      <c r="B357" s="4" t="s">
        <v>417</v>
      </c>
      <c r="C357" s="4" t="s">
        <v>487</v>
      </c>
      <c r="H357" s="4">
        <v>2.0</v>
      </c>
    </row>
    <row r="358">
      <c r="A358" s="4" t="s">
        <v>238</v>
      </c>
      <c r="B358" s="4" t="s">
        <v>417</v>
      </c>
      <c r="C358" s="4" t="s">
        <v>488</v>
      </c>
      <c r="AJ358" s="4">
        <v>1.0</v>
      </c>
    </row>
    <row r="359">
      <c r="A359" s="4" t="s">
        <v>238</v>
      </c>
      <c r="B359" s="4" t="s">
        <v>417</v>
      </c>
      <c r="C359" s="4" t="s">
        <v>489</v>
      </c>
    </row>
    <row r="360">
      <c r="A360" s="4" t="s">
        <v>238</v>
      </c>
      <c r="B360" s="4" t="s">
        <v>417</v>
      </c>
      <c r="C360" s="4" t="s">
        <v>490</v>
      </c>
    </row>
    <row r="361">
      <c r="A361" s="4" t="s">
        <v>238</v>
      </c>
      <c r="B361" s="4" t="s">
        <v>417</v>
      </c>
      <c r="C361" s="4" t="s">
        <v>491</v>
      </c>
      <c r="E361" s="4">
        <v>1.0</v>
      </c>
      <c r="G361" s="4">
        <v>1.0</v>
      </c>
      <c r="I361" s="4">
        <v>1.0</v>
      </c>
      <c r="J361" s="4">
        <v>1.0</v>
      </c>
    </row>
    <row r="362">
      <c r="A362" s="4" t="s">
        <v>238</v>
      </c>
      <c r="B362" s="4" t="s">
        <v>417</v>
      </c>
      <c r="C362" s="4" t="s">
        <v>492</v>
      </c>
      <c r="D362" s="4">
        <v>1.0</v>
      </c>
      <c r="E362" s="4">
        <v>1.0</v>
      </c>
      <c r="G362" s="4">
        <v>1.0</v>
      </c>
      <c r="L362" s="4">
        <v>1.0</v>
      </c>
    </row>
    <row r="363">
      <c r="A363" s="4" t="s">
        <v>238</v>
      </c>
      <c r="B363" s="4" t="s">
        <v>417</v>
      </c>
      <c r="C363" s="4" t="s">
        <v>493</v>
      </c>
    </row>
    <row r="364">
      <c r="A364" s="4" t="s">
        <v>238</v>
      </c>
      <c r="B364" s="4" t="s">
        <v>417</v>
      </c>
      <c r="C364" s="4" t="s">
        <v>494</v>
      </c>
    </row>
    <row r="365">
      <c r="A365" s="4" t="s">
        <v>238</v>
      </c>
      <c r="B365" s="4" t="s">
        <v>417</v>
      </c>
      <c r="C365" s="4" t="s">
        <v>495</v>
      </c>
    </row>
    <row r="366">
      <c r="A366" s="4" t="s">
        <v>238</v>
      </c>
      <c r="B366" s="4" t="s">
        <v>417</v>
      </c>
      <c r="C366" s="4" t="s">
        <v>496</v>
      </c>
      <c r="D366" s="4">
        <v>1.0</v>
      </c>
      <c r="E366" s="4">
        <v>1.0</v>
      </c>
      <c r="J366" s="4">
        <v>1.0</v>
      </c>
      <c r="K366" s="4">
        <v>1.0</v>
      </c>
      <c r="L366" s="4">
        <v>1.0</v>
      </c>
      <c r="N366" s="4">
        <v>1.0</v>
      </c>
      <c r="X366" s="4">
        <v>1.0</v>
      </c>
      <c r="Z366" s="4">
        <v>1.0</v>
      </c>
      <c r="AF366" s="4">
        <v>1.0</v>
      </c>
    </row>
    <row r="367">
      <c r="A367" s="4" t="s">
        <v>238</v>
      </c>
      <c r="B367" s="4" t="s">
        <v>417</v>
      </c>
      <c r="C367" s="4" t="s">
        <v>497</v>
      </c>
    </row>
    <row r="368">
      <c r="A368" s="4" t="s">
        <v>238</v>
      </c>
      <c r="B368" s="4" t="s">
        <v>417</v>
      </c>
      <c r="C368" s="4" t="s">
        <v>498</v>
      </c>
      <c r="L368" s="4">
        <v>1.0</v>
      </c>
    </row>
    <row r="369">
      <c r="A369" s="4" t="s">
        <v>238</v>
      </c>
      <c r="B369" s="4" t="s">
        <v>417</v>
      </c>
      <c r="C369" s="4" t="s">
        <v>499</v>
      </c>
      <c r="S369" s="4">
        <v>1.0</v>
      </c>
    </row>
    <row r="370">
      <c r="A370" s="4" t="s">
        <v>238</v>
      </c>
      <c r="B370" s="4" t="s">
        <v>417</v>
      </c>
      <c r="C370" s="4" t="s">
        <v>500</v>
      </c>
    </row>
    <row r="371">
      <c r="A371" s="4" t="s">
        <v>238</v>
      </c>
      <c r="B371" s="4" t="s">
        <v>417</v>
      </c>
      <c r="C371" s="4" t="s">
        <v>501</v>
      </c>
    </row>
    <row r="372">
      <c r="A372" s="4" t="s">
        <v>238</v>
      </c>
      <c r="B372" s="4" t="s">
        <v>417</v>
      </c>
      <c r="C372" s="4" t="s">
        <v>502</v>
      </c>
    </row>
    <row r="373">
      <c r="A373" s="4" t="s">
        <v>238</v>
      </c>
      <c r="B373" s="4" t="s">
        <v>417</v>
      </c>
      <c r="C373" s="4" t="s">
        <v>503</v>
      </c>
    </row>
    <row r="374">
      <c r="A374" s="4" t="s">
        <v>238</v>
      </c>
      <c r="B374" s="4" t="s">
        <v>417</v>
      </c>
      <c r="C374" s="4" t="s">
        <v>504</v>
      </c>
      <c r="G374" s="4">
        <v>1.0</v>
      </c>
      <c r="J374" s="4">
        <v>1.0</v>
      </c>
      <c r="K374" s="4">
        <v>1.0</v>
      </c>
      <c r="AB374" s="4">
        <v>1.0</v>
      </c>
    </row>
    <row r="375">
      <c r="A375" s="4" t="s">
        <v>238</v>
      </c>
      <c r="B375" s="4" t="s">
        <v>417</v>
      </c>
      <c r="C375" s="4" t="s">
        <v>505</v>
      </c>
    </row>
    <row r="376">
      <c r="A376" s="4" t="s">
        <v>238</v>
      </c>
      <c r="B376" s="4" t="s">
        <v>417</v>
      </c>
      <c r="C376" s="4" t="s">
        <v>506</v>
      </c>
    </row>
    <row r="377">
      <c r="A377" s="4" t="s">
        <v>238</v>
      </c>
      <c r="B377" s="4" t="s">
        <v>417</v>
      </c>
      <c r="C377" s="4" t="s">
        <v>507</v>
      </c>
      <c r="Q377" s="4">
        <v>1.0</v>
      </c>
    </row>
    <row r="378">
      <c r="A378" s="4" t="s">
        <v>238</v>
      </c>
      <c r="B378" s="4" t="s">
        <v>417</v>
      </c>
      <c r="C378" s="4" t="s">
        <v>508</v>
      </c>
      <c r="I378" s="4">
        <v>1.0</v>
      </c>
      <c r="J378" s="4">
        <v>1.0</v>
      </c>
      <c r="K378" s="4">
        <v>1.0</v>
      </c>
      <c r="L378" s="4">
        <v>1.0</v>
      </c>
    </row>
    <row r="379">
      <c r="A379" s="4" t="s">
        <v>238</v>
      </c>
      <c r="B379" s="4" t="s">
        <v>417</v>
      </c>
      <c r="C379" s="4" t="s">
        <v>509</v>
      </c>
    </row>
    <row r="380">
      <c r="A380" s="4" t="s">
        <v>238</v>
      </c>
      <c r="B380" s="4" t="s">
        <v>417</v>
      </c>
      <c r="C380" s="4" t="s">
        <v>510</v>
      </c>
    </row>
    <row r="381">
      <c r="A381" s="4" t="s">
        <v>238</v>
      </c>
      <c r="B381" s="4" t="s">
        <v>417</v>
      </c>
      <c r="C381" s="4" t="s">
        <v>511</v>
      </c>
    </row>
    <row r="382">
      <c r="A382" s="4" t="s">
        <v>238</v>
      </c>
      <c r="B382" s="4" t="s">
        <v>417</v>
      </c>
      <c r="C382" s="4" t="s">
        <v>512</v>
      </c>
      <c r="K382" s="4">
        <v>1.0</v>
      </c>
    </row>
    <row r="383">
      <c r="A383" s="4" t="s">
        <v>238</v>
      </c>
      <c r="B383" s="4" t="s">
        <v>417</v>
      </c>
      <c r="C383" s="4" t="s">
        <v>513</v>
      </c>
    </row>
    <row r="384">
      <c r="A384" s="4" t="s">
        <v>238</v>
      </c>
      <c r="B384" s="4" t="s">
        <v>417</v>
      </c>
      <c r="C384" s="4" t="s">
        <v>514</v>
      </c>
    </row>
    <row r="385">
      <c r="A385" s="4" t="s">
        <v>238</v>
      </c>
      <c r="B385" s="4" t="s">
        <v>417</v>
      </c>
      <c r="C385" s="4" t="s">
        <v>515</v>
      </c>
      <c r="H385" s="4">
        <v>1.0</v>
      </c>
    </row>
    <row r="386">
      <c r="A386" s="4" t="s">
        <v>238</v>
      </c>
      <c r="B386" s="4" t="s">
        <v>417</v>
      </c>
      <c r="C386" s="4" t="s">
        <v>516</v>
      </c>
      <c r="U386" s="4">
        <v>1.0</v>
      </c>
    </row>
    <row r="387">
      <c r="A387" s="4" t="s">
        <v>238</v>
      </c>
      <c r="B387" s="4" t="s">
        <v>417</v>
      </c>
      <c r="C387" s="4" t="s">
        <v>517</v>
      </c>
    </row>
    <row r="388">
      <c r="A388" s="4" t="s">
        <v>238</v>
      </c>
      <c r="B388" s="4" t="s">
        <v>417</v>
      </c>
      <c r="C388" s="4" t="s">
        <v>518</v>
      </c>
    </row>
    <row r="389">
      <c r="A389" s="4" t="s">
        <v>238</v>
      </c>
      <c r="B389" s="4" t="s">
        <v>417</v>
      </c>
      <c r="C389" s="4" t="s">
        <v>519</v>
      </c>
    </row>
    <row r="390">
      <c r="A390" s="4" t="s">
        <v>238</v>
      </c>
      <c r="B390" s="4" t="s">
        <v>417</v>
      </c>
      <c r="C390" s="4" t="s">
        <v>520</v>
      </c>
      <c r="E390" s="4">
        <v>1.0</v>
      </c>
      <c r="H390" s="4">
        <v>1.0</v>
      </c>
      <c r="J390" s="4">
        <v>1.0</v>
      </c>
    </row>
    <row r="391">
      <c r="A391" s="4" t="s">
        <v>238</v>
      </c>
      <c r="B391" s="4" t="s">
        <v>417</v>
      </c>
      <c r="C391" s="4" t="s">
        <v>521</v>
      </c>
      <c r="O391" s="4">
        <v>2.0</v>
      </c>
    </row>
    <row r="392">
      <c r="A392" s="4" t="s">
        <v>238</v>
      </c>
      <c r="B392" s="4" t="s">
        <v>417</v>
      </c>
      <c r="C392" s="4" t="s">
        <v>522</v>
      </c>
      <c r="O392" s="4">
        <v>2.0</v>
      </c>
    </row>
    <row r="393">
      <c r="A393" s="4" t="s">
        <v>238</v>
      </c>
      <c r="B393" s="4" t="s">
        <v>417</v>
      </c>
      <c r="C393" s="4" t="s">
        <v>523</v>
      </c>
    </row>
    <row r="394">
      <c r="A394" s="4" t="s">
        <v>238</v>
      </c>
      <c r="B394" s="4" t="s">
        <v>417</v>
      </c>
      <c r="C394" s="4" t="s">
        <v>524</v>
      </c>
    </row>
    <row r="395">
      <c r="A395" s="4" t="s">
        <v>238</v>
      </c>
      <c r="B395" s="4" t="s">
        <v>417</v>
      </c>
      <c r="C395" s="4" t="s">
        <v>525</v>
      </c>
    </row>
    <row r="396">
      <c r="A396" s="4" t="s">
        <v>238</v>
      </c>
      <c r="B396" s="4" t="s">
        <v>417</v>
      </c>
      <c r="C396" s="4" t="s">
        <v>526</v>
      </c>
    </row>
    <row r="397">
      <c r="A397" s="4" t="s">
        <v>238</v>
      </c>
      <c r="B397" s="4" t="s">
        <v>417</v>
      </c>
      <c r="C397" s="4" t="s">
        <v>527</v>
      </c>
    </row>
    <row r="398">
      <c r="A398" s="4" t="s">
        <v>238</v>
      </c>
      <c r="B398" s="4" t="s">
        <v>417</v>
      </c>
      <c r="C398" s="4" t="s">
        <v>528</v>
      </c>
    </row>
    <row r="399">
      <c r="A399" s="4" t="s">
        <v>238</v>
      </c>
      <c r="B399" s="4" t="s">
        <v>417</v>
      </c>
      <c r="C399" s="4" t="s">
        <v>529</v>
      </c>
    </row>
    <row r="400">
      <c r="A400" s="4" t="s">
        <v>238</v>
      </c>
      <c r="B400" s="4" t="s">
        <v>417</v>
      </c>
      <c r="C400" s="4" t="s">
        <v>530</v>
      </c>
      <c r="K400" s="4">
        <v>5.0</v>
      </c>
    </row>
    <row r="401">
      <c r="A401" s="4" t="s">
        <v>238</v>
      </c>
      <c r="B401" s="4" t="s">
        <v>417</v>
      </c>
      <c r="C401" s="4" t="s">
        <v>531</v>
      </c>
      <c r="U401" s="4">
        <v>4.0</v>
      </c>
    </row>
    <row r="402">
      <c r="A402" s="4" t="s">
        <v>238</v>
      </c>
      <c r="B402" s="4" t="s">
        <v>417</v>
      </c>
      <c r="C402" s="4" t="s">
        <v>532</v>
      </c>
      <c r="U402" s="4">
        <v>1.0</v>
      </c>
    </row>
    <row r="403">
      <c r="A403" s="4" t="s">
        <v>238</v>
      </c>
      <c r="B403" s="4" t="s">
        <v>417</v>
      </c>
      <c r="C403" s="4" t="s">
        <v>533</v>
      </c>
    </row>
    <row r="404">
      <c r="A404" s="4" t="s">
        <v>238</v>
      </c>
      <c r="B404" s="4" t="s">
        <v>417</v>
      </c>
      <c r="C404" s="4" t="s">
        <v>534</v>
      </c>
    </row>
    <row r="405">
      <c r="A405" s="4" t="s">
        <v>238</v>
      </c>
      <c r="B405" s="4" t="s">
        <v>417</v>
      </c>
      <c r="C405" s="4" t="s">
        <v>535</v>
      </c>
    </row>
    <row r="406">
      <c r="A406" s="4" t="s">
        <v>238</v>
      </c>
      <c r="B406" s="4" t="s">
        <v>417</v>
      </c>
      <c r="C406" s="4" t="s">
        <v>536</v>
      </c>
    </row>
    <row r="407">
      <c r="A407" s="4" t="s">
        <v>238</v>
      </c>
      <c r="B407" s="4" t="s">
        <v>417</v>
      </c>
      <c r="C407" s="4" t="s">
        <v>537</v>
      </c>
    </row>
    <row r="408">
      <c r="A408" s="4" t="s">
        <v>238</v>
      </c>
      <c r="B408" s="4" t="s">
        <v>417</v>
      </c>
      <c r="C408" s="4" t="s">
        <v>538</v>
      </c>
    </row>
    <row r="409">
      <c r="A409" s="4" t="s">
        <v>238</v>
      </c>
      <c r="B409" s="4" t="s">
        <v>417</v>
      </c>
      <c r="C409" s="4" t="s">
        <v>539</v>
      </c>
    </row>
    <row r="410">
      <c r="A410" s="4" t="s">
        <v>238</v>
      </c>
      <c r="B410" s="4" t="s">
        <v>417</v>
      </c>
      <c r="C410" s="4" t="s">
        <v>540</v>
      </c>
      <c r="G410" s="4">
        <v>2.0</v>
      </c>
    </row>
    <row r="411">
      <c r="A411" s="4" t="s">
        <v>238</v>
      </c>
      <c r="B411" s="4" t="s">
        <v>417</v>
      </c>
      <c r="C411" s="4" t="s">
        <v>541</v>
      </c>
    </row>
    <row r="412">
      <c r="A412" s="4" t="s">
        <v>238</v>
      </c>
      <c r="B412" s="4" t="s">
        <v>417</v>
      </c>
      <c r="C412" s="4" t="s">
        <v>542</v>
      </c>
    </row>
    <row r="413">
      <c r="A413" s="4" t="s">
        <v>238</v>
      </c>
      <c r="B413" s="4" t="s">
        <v>417</v>
      </c>
      <c r="C413" s="4" t="s">
        <v>543</v>
      </c>
    </row>
    <row r="414">
      <c r="A414" s="4" t="s">
        <v>238</v>
      </c>
      <c r="B414" s="4" t="s">
        <v>417</v>
      </c>
      <c r="C414" s="4" t="s">
        <v>544</v>
      </c>
    </row>
    <row r="415">
      <c r="A415" s="4" t="s">
        <v>238</v>
      </c>
      <c r="B415" s="4" t="s">
        <v>417</v>
      </c>
      <c r="C415" s="4" t="s">
        <v>545</v>
      </c>
    </row>
    <row r="416">
      <c r="A416" s="4" t="s">
        <v>238</v>
      </c>
      <c r="B416" s="4" t="s">
        <v>417</v>
      </c>
      <c r="C416" s="4" t="s">
        <v>546</v>
      </c>
    </row>
    <row r="417">
      <c r="A417" s="4" t="s">
        <v>238</v>
      </c>
      <c r="B417" s="4" t="s">
        <v>417</v>
      </c>
      <c r="C417" s="4" t="s">
        <v>547</v>
      </c>
    </row>
    <row r="418">
      <c r="A418" s="4" t="s">
        <v>238</v>
      </c>
      <c r="B418" s="4" t="s">
        <v>417</v>
      </c>
      <c r="C418" s="4" t="s">
        <v>548</v>
      </c>
    </row>
    <row r="419">
      <c r="A419" s="4" t="s">
        <v>238</v>
      </c>
      <c r="B419" s="4" t="s">
        <v>417</v>
      </c>
      <c r="C419" s="4" t="s">
        <v>549</v>
      </c>
    </row>
    <row r="420">
      <c r="A420" s="4" t="s">
        <v>238</v>
      </c>
      <c r="B420" s="4" t="s">
        <v>417</v>
      </c>
      <c r="C420" s="4" t="s">
        <v>550</v>
      </c>
    </row>
    <row r="421">
      <c r="A421" s="4" t="s">
        <v>238</v>
      </c>
      <c r="B421" s="4" t="s">
        <v>417</v>
      </c>
      <c r="C421" s="4" t="s">
        <v>551</v>
      </c>
      <c r="I421" s="4">
        <v>11.0</v>
      </c>
    </row>
    <row r="422">
      <c r="A422" s="4" t="s">
        <v>238</v>
      </c>
      <c r="B422" s="4" t="s">
        <v>417</v>
      </c>
      <c r="C422" s="4" t="s">
        <v>552</v>
      </c>
    </row>
    <row r="423">
      <c r="A423" s="4" t="s">
        <v>238</v>
      </c>
      <c r="B423" s="4" t="s">
        <v>417</v>
      </c>
      <c r="C423" s="4" t="s">
        <v>553</v>
      </c>
    </row>
    <row r="424">
      <c r="A424" s="4" t="s">
        <v>238</v>
      </c>
      <c r="B424" s="4" t="s">
        <v>417</v>
      </c>
      <c r="C424" s="4" t="s">
        <v>554</v>
      </c>
    </row>
    <row r="425">
      <c r="A425" s="4" t="s">
        <v>238</v>
      </c>
      <c r="B425" s="4" t="s">
        <v>417</v>
      </c>
      <c r="C425" s="4" t="s">
        <v>555</v>
      </c>
    </row>
    <row r="426">
      <c r="A426" s="4" t="s">
        <v>238</v>
      </c>
      <c r="B426" s="4" t="s">
        <v>417</v>
      </c>
      <c r="C426" s="4" t="s">
        <v>556</v>
      </c>
    </row>
    <row r="427">
      <c r="A427" s="4" t="s">
        <v>238</v>
      </c>
      <c r="B427" s="4" t="s">
        <v>417</v>
      </c>
      <c r="C427" s="4" t="s">
        <v>557</v>
      </c>
    </row>
    <row r="428">
      <c r="A428" s="4" t="s">
        <v>238</v>
      </c>
      <c r="B428" s="4" t="s">
        <v>417</v>
      </c>
      <c r="C428" s="4" t="s">
        <v>558</v>
      </c>
    </row>
    <row r="429">
      <c r="A429" s="4" t="s">
        <v>238</v>
      </c>
      <c r="B429" s="4" t="s">
        <v>417</v>
      </c>
      <c r="C429" s="4" t="s">
        <v>559</v>
      </c>
      <c r="H429" s="4">
        <v>16.0</v>
      </c>
    </row>
    <row r="430">
      <c r="A430" s="4" t="s">
        <v>238</v>
      </c>
      <c r="B430" s="4" t="s">
        <v>417</v>
      </c>
      <c r="C430" s="4" t="s">
        <v>560</v>
      </c>
    </row>
    <row r="431">
      <c r="A431" s="4" t="s">
        <v>238</v>
      </c>
      <c r="B431" s="4" t="s">
        <v>417</v>
      </c>
      <c r="C431" s="4" t="s">
        <v>561</v>
      </c>
    </row>
    <row r="432">
      <c r="A432" s="4" t="s">
        <v>238</v>
      </c>
      <c r="B432" s="4" t="s">
        <v>417</v>
      </c>
      <c r="C432" s="4" t="s">
        <v>562</v>
      </c>
    </row>
    <row r="433">
      <c r="A433" s="4" t="s">
        <v>238</v>
      </c>
      <c r="B433" s="4" t="s">
        <v>417</v>
      </c>
      <c r="C433" s="4" t="s">
        <v>563</v>
      </c>
    </row>
    <row r="434">
      <c r="A434" s="4" t="s">
        <v>238</v>
      </c>
      <c r="B434" s="4" t="s">
        <v>417</v>
      </c>
      <c r="C434" s="4" t="s">
        <v>564</v>
      </c>
    </row>
    <row r="435">
      <c r="A435" s="4" t="s">
        <v>238</v>
      </c>
      <c r="B435" s="4" t="s">
        <v>417</v>
      </c>
      <c r="C435" s="4" t="s">
        <v>565</v>
      </c>
    </row>
    <row r="436">
      <c r="A436" s="4" t="s">
        <v>238</v>
      </c>
      <c r="B436" s="4" t="s">
        <v>417</v>
      </c>
      <c r="C436" s="4" t="s">
        <v>566</v>
      </c>
    </row>
    <row r="437">
      <c r="A437" s="4" t="s">
        <v>238</v>
      </c>
      <c r="B437" s="4" t="s">
        <v>417</v>
      </c>
      <c r="C437" s="4" t="s">
        <v>567</v>
      </c>
    </row>
    <row r="438">
      <c r="A438" s="4" t="s">
        <v>238</v>
      </c>
      <c r="B438" s="4" t="s">
        <v>417</v>
      </c>
      <c r="C438" s="4" t="s">
        <v>568</v>
      </c>
    </row>
    <row r="439">
      <c r="A439" s="4" t="s">
        <v>238</v>
      </c>
      <c r="B439" s="4" t="s">
        <v>417</v>
      </c>
      <c r="C439" s="4" t="s">
        <v>569</v>
      </c>
      <c r="H439" s="4">
        <v>3.0</v>
      </c>
    </row>
    <row r="440">
      <c r="A440" s="4" t="s">
        <v>238</v>
      </c>
      <c r="B440" s="4" t="s">
        <v>417</v>
      </c>
      <c r="C440" s="4" t="s">
        <v>570</v>
      </c>
    </row>
    <row r="441">
      <c r="A441" s="4" t="s">
        <v>238</v>
      </c>
      <c r="B441" s="4" t="s">
        <v>417</v>
      </c>
      <c r="C441" s="4" t="s">
        <v>571</v>
      </c>
    </row>
    <row r="442">
      <c r="A442" s="4" t="s">
        <v>238</v>
      </c>
      <c r="B442" s="4" t="s">
        <v>417</v>
      </c>
      <c r="C442" s="4" t="s">
        <v>572</v>
      </c>
    </row>
    <row r="443">
      <c r="A443" s="4" t="s">
        <v>238</v>
      </c>
      <c r="B443" s="4" t="s">
        <v>417</v>
      </c>
      <c r="C443" s="4" t="s">
        <v>573</v>
      </c>
    </row>
    <row r="444">
      <c r="A444" s="4" t="s">
        <v>238</v>
      </c>
      <c r="B444" s="4" t="s">
        <v>417</v>
      </c>
      <c r="C444" s="4" t="s">
        <v>574</v>
      </c>
    </row>
    <row r="445">
      <c r="A445" s="4" t="s">
        <v>238</v>
      </c>
      <c r="B445" s="4" t="s">
        <v>417</v>
      </c>
      <c r="C445" s="4" t="s">
        <v>575</v>
      </c>
    </row>
    <row r="446">
      <c r="A446" s="4" t="s">
        <v>238</v>
      </c>
      <c r="B446" s="4" t="s">
        <v>417</v>
      </c>
      <c r="C446" s="4" t="s">
        <v>576</v>
      </c>
    </row>
    <row r="447">
      <c r="A447" s="4" t="s">
        <v>238</v>
      </c>
      <c r="B447" s="4" t="s">
        <v>417</v>
      </c>
      <c r="C447" s="4" t="s">
        <v>577</v>
      </c>
    </row>
    <row r="448">
      <c r="A448" s="4" t="s">
        <v>238</v>
      </c>
      <c r="B448" s="4" t="s">
        <v>417</v>
      </c>
      <c r="C448" s="4" t="s">
        <v>578</v>
      </c>
      <c r="N448" s="4">
        <v>1.0</v>
      </c>
      <c r="X448" s="4">
        <v>1.0</v>
      </c>
      <c r="Z448" s="4">
        <v>1.0</v>
      </c>
      <c r="AC448" s="4">
        <v>1.0</v>
      </c>
    </row>
    <row r="449">
      <c r="A449" s="4" t="s">
        <v>238</v>
      </c>
      <c r="B449" s="4" t="s">
        <v>579</v>
      </c>
      <c r="C449" s="4" t="s">
        <v>580</v>
      </c>
    </row>
    <row r="450">
      <c r="A450" s="4" t="s">
        <v>238</v>
      </c>
      <c r="B450" s="4" t="s">
        <v>579</v>
      </c>
      <c r="C450" s="4" t="s">
        <v>581</v>
      </c>
    </row>
    <row r="451">
      <c r="A451" s="4" t="s">
        <v>238</v>
      </c>
      <c r="B451" s="4" t="s">
        <v>579</v>
      </c>
      <c r="C451" s="4" t="s">
        <v>582</v>
      </c>
    </row>
    <row r="452">
      <c r="A452" s="4" t="s">
        <v>238</v>
      </c>
      <c r="B452" s="4" t="s">
        <v>579</v>
      </c>
      <c r="C452" s="4" t="s">
        <v>583</v>
      </c>
    </row>
    <row r="453">
      <c r="A453" s="4" t="s">
        <v>238</v>
      </c>
      <c r="B453" s="4" t="s">
        <v>579</v>
      </c>
      <c r="C453" s="4" t="s">
        <v>584</v>
      </c>
    </row>
    <row r="454">
      <c r="A454" s="4" t="s">
        <v>238</v>
      </c>
      <c r="B454" s="4" t="s">
        <v>579</v>
      </c>
      <c r="C454" s="4" t="s">
        <v>585</v>
      </c>
    </row>
    <row r="455">
      <c r="A455" s="4" t="s">
        <v>238</v>
      </c>
      <c r="B455" s="4" t="s">
        <v>579</v>
      </c>
      <c r="C455" s="4" t="s">
        <v>586</v>
      </c>
    </row>
    <row r="456">
      <c r="A456" s="4" t="s">
        <v>238</v>
      </c>
      <c r="B456" s="4" t="s">
        <v>579</v>
      </c>
      <c r="C456" s="4" t="s">
        <v>587</v>
      </c>
    </row>
    <row r="457">
      <c r="A457" s="4" t="s">
        <v>238</v>
      </c>
      <c r="B457" s="4" t="s">
        <v>579</v>
      </c>
      <c r="C457" s="4" t="s">
        <v>588</v>
      </c>
    </row>
    <row r="458">
      <c r="A458" s="4" t="s">
        <v>238</v>
      </c>
      <c r="B458" s="4" t="s">
        <v>579</v>
      </c>
      <c r="C458" s="4" t="s">
        <v>589</v>
      </c>
      <c r="D458" s="4">
        <v>1.0</v>
      </c>
      <c r="F458" s="4">
        <v>1.0</v>
      </c>
      <c r="I458" s="4">
        <v>4.0</v>
      </c>
      <c r="K458" s="4">
        <v>1.0</v>
      </c>
      <c r="M458" s="4">
        <v>1.0</v>
      </c>
      <c r="Q458" s="4">
        <v>1.0</v>
      </c>
      <c r="W458" s="4">
        <v>1.0</v>
      </c>
    </row>
    <row r="459">
      <c r="A459" s="4" t="s">
        <v>238</v>
      </c>
      <c r="B459" s="4" t="s">
        <v>579</v>
      </c>
      <c r="C459" s="4" t="s">
        <v>590</v>
      </c>
    </row>
    <row r="460">
      <c r="A460" s="4" t="s">
        <v>238</v>
      </c>
      <c r="B460" s="4" t="s">
        <v>579</v>
      </c>
      <c r="C460" s="4" t="s">
        <v>591</v>
      </c>
    </row>
    <row r="461">
      <c r="A461" s="4" t="s">
        <v>238</v>
      </c>
      <c r="B461" s="4" t="s">
        <v>579</v>
      </c>
      <c r="C461" s="4" t="s">
        <v>592</v>
      </c>
    </row>
    <row r="462">
      <c r="A462" s="4" t="s">
        <v>238</v>
      </c>
      <c r="B462" s="4" t="s">
        <v>579</v>
      </c>
      <c r="C462" s="4" t="s">
        <v>593</v>
      </c>
    </row>
    <row r="463">
      <c r="A463" s="4" t="s">
        <v>238</v>
      </c>
      <c r="B463" s="4" t="s">
        <v>579</v>
      </c>
      <c r="C463" s="4" t="s">
        <v>594</v>
      </c>
    </row>
    <row r="464">
      <c r="A464" s="4" t="s">
        <v>238</v>
      </c>
      <c r="B464" s="4" t="s">
        <v>579</v>
      </c>
      <c r="C464" s="4" t="s">
        <v>595</v>
      </c>
    </row>
    <row r="465">
      <c r="A465" s="4" t="s">
        <v>238</v>
      </c>
      <c r="B465" s="4" t="s">
        <v>579</v>
      </c>
      <c r="C465" s="4" t="s">
        <v>596</v>
      </c>
    </row>
    <row r="466">
      <c r="A466" s="4" t="s">
        <v>238</v>
      </c>
      <c r="B466" s="4" t="s">
        <v>579</v>
      </c>
      <c r="C466" s="4" t="s">
        <v>597</v>
      </c>
    </row>
    <row r="467">
      <c r="A467" s="4" t="s">
        <v>238</v>
      </c>
      <c r="B467" s="4" t="s">
        <v>579</v>
      </c>
      <c r="C467" s="4" t="s">
        <v>598</v>
      </c>
      <c r="D467" s="4">
        <v>8.0</v>
      </c>
      <c r="S467" s="4">
        <v>1.0</v>
      </c>
    </row>
    <row r="468">
      <c r="A468" s="4" t="s">
        <v>238</v>
      </c>
      <c r="B468" s="4" t="s">
        <v>579</v>
      </c>
      <c r="C468" s="4" t="s">
        <v>599</v>
      </c>
      <c r="S468" s="4">
        <v>1.0</v>
      </c>
    </row>
    <row r="469">
      <c r="A469" s="4" t="s">
        <v>238</v>
      </c>
      <c r="B469" s="4" t="s">
        <v>579</v>
      </c>
      <c r="C469" s="4" t="s">
        <v>600</v>
      </c>
    </row>
    <row r="470">
      <c r="A470" s="4" t="s">
        <v>238</v>
      </c>
      <c r="B470" s="4" t="s">
        <v>579</v>
      </c>
      <c r="C470" s="4" t="s">
        <v>601</v>
      </c>
    </row>
    <row r="471">
      <c r="A471" s="4" t="s">
        <v>238</v>
      </c>
      <c r="B471" s="4" t="s">
        <v>579</v>
      </c>
      <c r="C471" s="4" t="s">
        <v>602</v>
      </c>
    </row>
    <row r="472">
      <c r="A472" s="4" t="s">
        <v>238</v>
      </c>
      <c r="B472" s="4" t="s">
        <v>579</v>
      </c>
      <c r="C472" s="4" t="s">
        <v>603</v>
      </c>
    </row>
    <row r="473">
      <c r="A473" s="4" t="s">
        <v>238</v>
      </c>
      <c r="B473" s="4" t="s">
        <v>579</v>
      </c>
      <c r="C473" s="4" t="s">
        <v>604</v>
      </c>
    </row>
    <row r="474">
      <c r="A474" s="4" t="s">
        <v>238</v>
      </c>
      <c r="B474" s="4" t="s">
        <v>579</v>
      </c>
      <c r="C474" s="4" t="s">
        <v>605</v>
      </c>
      <c r="N474" s="4">
        <v>2.0</v>
      </c>
    </row>
    <row r="475">
      <c r="A475" s="4" t="s">
        <v>238</v>
      </c>
      <c r="B475" s="4" t="s">
        <v>579</v>
      </c>
      <c r="C475" s="4" t="s">
        <v>606</v>
      </c>
    </row>
    <row r="476">
      <c r="A476" s="4" t="s">
        <v>238</v>
      </c>
      <c r="B476" s="4" t="s">
        <v>579</v>
      </c>
      <c r="C476" s="4" t="s">
        <v>607</v>
      </c>
    </row>
    <row r="477">
      <c r="A477" s="4" t="s">
        <v>238</v>
      </c>
      <c r="B477" s="4" t="s">
        <v>579</v>
      </c>
      <c r="C477" s="4" t="s">
        <v>608</v>
      </c>
    </row>
    <row r="478">
      <c r="A478" s="4" t="s">
        <v>238</v>
      </c>
      <c r="B478" s="4" t="s">
        <v>579</v>
      </c>
      <c r="C478" s="4" t="s">
        <v>609</v>
      </c>
    </row>
    <row r="479">
      <c r="A479" s="4" t="s">
        <v>238</v>
      </c>
      <c r="B479" s="4" t="s">
        <v>579</v>
      </c>
      <c r="C479" s="4" t="s">
        <v>610</v>
      </c>
    </row>
    <row r="480">
      <c r="A480" s="4" t="s">
        <v>238</v>
      </c>
      <c r="B480" s="4" t="s">
        <v>579</v>
      </c>
      <c r="C480" s="4" t="s">
        <v>611</v>
      </c>
      <c r="F480" s="4">
        <v>1.0</v>
      </c>
    </row>
    <row r="481">
      <c r="A481" s="4" t="s">
        <v>238</v>
      </c>
      <c r="B481" s="4" t="s">
        <v>579</v>
      </c>
      <c r="C481" s="4" t="s">
        <v>612</v>
      </c>
    </row>
    <row r="482">
      <c r="A482" s="4" t="s">
        <v>238</v>
      </c>
      <c r="B482" s="4" t="s">
        <v>579</v>
      </c>
      <c r="C482" s="4" t="s">
        <v>613</v>
      </c>
    </row>
    <row r="483">
      <c r="A483" s="4" t="s">
        <v>238</v>
      </c>
      <c r="B483" s="4" t="s">
        <v>579</v>
      </c>
      <c r="C483" s="4" t="s">
        <v>614</v>
      </c>
    </row>
    <row r="484">
      <c r="A484" s="4" t="s">
        <v>238</v>
      </c>
      <c r="B484" s="4" t="s">
        <v>579</v>
      </c>
      <c r="C484" s="4" t="s">
        <v>615</v>
      </c>
    </row>
    <row r="485">
      <c r="A485" s="4" t="s">
        <v>238</v>
      </c>
      <c r="B485" s="4" t="s">
        <v>579</v>
      </c>
      <c r="C485" s="4" t="s">
        <v>616</v>
      </c>
    </row>
    <row r="486">
      <c r="A486" s="4" t="s">
        <v>238</v>
      </c>
      <c r="B486" s="4" t="s">
        <v>579</v>
      </c>
      <c r="C486" s="4" t="s">
        <v>617</v>
      </c>
    </row>
    <row r="487">
      <c r="A487" s="4" t="s">
        <v>238</v>
      </c>
      <c r="B487" s="4" t="s">
        <v>579</v>
      </c>
      <c r="C487" s="4" t="s">
        <v>618</v>
      </c>
    </row>
    <row r="488">
      <c r="A488" s="4" t="s">
        <v>238</v>
      </c>
      <c r="B488" s="4" t="s">
        <v>579</v>
      </c>
      <c r="C488" s="4" t="s">
        <v>619</v>
      </c>
    </row>
    <row r="489">
      <c r="A489" s="4" t="s">
        <v>238</v>
      </c>
      <c r="B489" s="4" t="s">
        <v>579</v>
      </c>
      <c r="C489" s="4" t="s">
        <v>620</v>
      </c>
    </row>
    <row r="490">
      <c r="A490" s="4" t="s">
        <v>238</v>
      </c>
      <c r="B490" s="4" t="s">
        <v>579</v>
      </c>
      <c r="C490" s="4" t="s">
        <v>621</v>
      </c>
    </row>
    <row r="491">
      <c r="A491" s="4" t="s">
        <v>238</v>
      </c>
      <c r="B491" s="4" t="s">
        <v>579</v>
      </c>
      <c r="C491" s="4" t="s">
        <v>622</v>
      </c>
    </row>
    <row r="492">
      <c r="A492" s="4" t="s">
        <v>238</v>
      </c>
      <c r="B492" s="4" t="s">
        <v>579</v>
      </c>
      <c r="C492" s="4" t="s">
        <v>623</v>
      </c>
    </row>
    <row r="493">
      <c r="A493" s="4" t="s">
        <v>238</v>
      </c>
      <c r="B493" s="4" t="s">
        <v>579</v>
      </c>
      <c r="C493" s="4" t="s">
        <v>624</v>
      </c>
    </row>
    <row r="494">
      <c r="A494" s="4" t="s">
        <v>238</v>
      </c>
      <c r="B494" s="4" t="s">
        <v>579</v>
      </c>
      <c r="C494" s="4" t="s">
        <v>625</v>
      </c>
    </row>
    <row r="495">
      <c r="A495" s="4" t="s">
        <v>238</v>
      </c>
      <c r="B495" s="4" t="s">
        <v>579</v>
      </c>
      <c r="C495" s="4" t="s">
        <v>626</v>
      </c>
    </row>
    <row r="496">
      <c r="A496" s="4" t="s">
        <v>238</v>
      </c>
      <c r="B496" s="4" t="s">
        <v>579</v>
      </c>
      <c r="C496" s="4" t="s">
        <v>627</v>
      </c>
      <c r="G496" s="4">
        <v>1.0</v>
      </c>
    </row>
    <row r="497">
      <c r="A497" s="4" t="s">
        <v>238</v>
      </c>
      <c r="B497" s="4" t="s">
        <v>579</v>
      </c>
      <c r="C497" s="4" t="s">
        <v>628</v>
      </c>
    </row>
    <row r="498">
      <c r="A498" s="4" t="s">
        <v>238</v>
      </c>
      <c r="B498" s="4" t="s">
        <v>579</v>
      </c>
      <c r="C498" s="4" t="s">
        <v>629</v>
      </c>
      <c r="D498" s="4">
        <v>2.0</v>
      </c>
    </row>
    <row r="499">
      <c r="A499" s="4" t="s">
        <v>238</v>
      </c>
      <c r="B499" s="4" t="s">
        <v>579</v>
      </c>
      <c r="C499" s="4" t="s">
        <v>630</v>
      </c>
    </row>
    <row r="500">
      <c r="A500" s="4" t="s">
        <v>238</v>
      </c>
      <c r="B500" s="4" t="s">
        <v>579</v>
      </c>
      <c r="C500" s="4" t="s">
        <v>631</v>
      </c>
    </row>
    <row r="501">
      <c r="A501" s="4" t="s">
        <v>238</v>
      </c>
      <c r="B501" s="4" t="s">
        <v>579</v>
      </c>
      <c r="C501" s="4" t="s">
        <v>632</v>
      </c>
    </row>
    <row r="502">
      <c r="A502" s="4" t="s">
        <v>238</v>
      </c>
      <c r="B502" s="4" t="s">
        <v>579</v>
      </c>
      <c r="C502" s="4" t="s">
        <v>633</v>
      </c>
    </row>
    <row r="503">
      <c r="A503" s="4" t="s">
        <v>238</v>
      </c>
      <c r="B503" s="4" t="s">
        <v>579</v>
      </c>
      <c r="C503" s="4" t="s">
        <v>634</v>
      </c>
    </row>
    <row r="504">
      <c r="A504" s="4" t="s">
        <v>238</v>
      </c>
      <c r="B504" s="4" t="s">
        <v>579</v>
      </c>
      <c r="C504" s="4" t="s">
        <v>635</v>
      </c>
      <c r="D504" s="4">
        <v>1.0</v>
      </c>
    </row>
    <row r="505">
      <c r="A505" s="4" t="s">
        <v>238</v>
      </c>
      <c r="B505" s="4" t="s">
        <v>579</v>
      </c>
      <c r="C505" s="4" t="s">
        <v>636</v>
      </c>
    </row>
    <row r="506">
      <c r="A506" s="4" t="s">
        <v>238</v>
      </c>
      <c r="B506" s="4" t="s">
        <v>579</v>
      </c>
      <c r="C506" s="4" t="s">
        <v>637</v>
      </c>
    </row>
    <row r="507">
      <c r="A507" s="4" t="s">
        <v>238</v>
      </c>
      <c r="B507" s="4" t="s">
        <v>579</v>
      </c>
      <c r="C507" s="4" t="s">
        <v>638</v>
      </c>
    </row>
    <row r="508">
      <c r="A508" s="4" t="s">
        <v>238</v>
      </c>
      <c r="B508" s="4" t="s">
        <v>579</v>
      </c>
      <c r="C508" s="4" t="s">
        <v>639</v>
      </c>
    </row>
    <row r="509">
      <c r="A509" s="4" t="s">
        <v>238</v>
      </c>
      <c r="B509" s="4" t="s">
        <v>579</v>
      </c>
      <c r="C509" s="4" t="s">
        <v>640</v>
      </c>
    </row>
    <row r="510">
      <c r="A510" s="4" t="s">
        <v>238</v>
      </c>
      <c r="B510" s="4" t="s">
        <v>579</v>
      </c>
      <c r="C510" s="4" t="s">
        <v>641</v>
      </c>
    </row>
    <row r="511">
      <c r="A511" s="4" t="s">
        <v>238</v>
      </c>
      <c r="B511" s="4" t="s">
        <v>579</v>
      </c>
      <c r="C511" s="4" t="s">
        <v>642</v>
      </c>
    </row>
    <row r="512">
      <c r="A512" s="4" t="s">
        <v>238</v>
      </c>
      <c r="B512" s="4" t="s">
        <v>579</v>
      </c>
      <c r="C512" s="4" t="s">
        <v>643</v>
      </c>
    </row>
    <row r="513">
      <c r="A513" s="4" t="s">
        <v>238</v>
      </c>
      <c r="B513" s="4" t="s">
        <v>579</v>
      </c>
      <c r="C513" s="4" t="s">
        <v>644</v>
      </c>
    </row>
    <row r="514">
      <c r="A514" s="4" t="s">
        <v>238</v>
      </c>
      <c r="B514" s="4" t="s">
        <v>579</v>
      </c>
      <c r="C514" s="4" t="s">
        <v>645</v>
      </c>
    </row>
    <row r="515">
      <c r="A515" s="4" t="s">
        <v>238</v>
      </c>
      <c r="B515" s="4" t="s">
        <v>579</v>
      </c>
      <c r="C515" s="4" t="s">
        <v>646</v>
      </c>
    </row>
    <row r="516">
      <c r="A516" s="4" t="s">
        <v>238</v>
      </c>
      <c r="B516" s="4" t="s">
        <v>579</v>
      </c>
      <c r="C516" s="4" t="s">
        <v>647</v>
      </c>
    </row>
    <row r="517">
      <c r="A517" s="4" t="s">
        <v>238</v>
      </c>
      <c r="B517" s="4" t="s">
        <v>579</v>
      </c>
      <c r="C517" s="4" t="s">
        <v>648</v>
      </c>
    </row>
    <row r="518">
      <c r="A518" s="4" t="s">
        <v>238</v>
      </c>
      <c r="B518" s="4" t="s">
        <v>579</v>
      </c>
      <c r="C518" s="4" t="s">
        <v>649</v>
      </c>
    </row>
    <row r="519">
      <c r="A519" s="4" t="s">
        <v>238</v>
      </c>
      <c r="B519" s="4" t="s">
        <v>579</v>
      </c>
      <c r="C519" s="4" t="s">
        <v>650</v>
      </c>
    </row>
    <row r="520">
      <c r="A520" s="4" t="s">
        <v>238</v>
      </c>
      <c r="B520" s="4" t="s">
        <v>579</v>
      </c>
      <c r="C520" s="4" t="s">
        <v>651</v>
      </c>
    </row>
    <row r="521">
      <c r="A521" s="4" t="s">
        <v>238</v>
      </c>
      <c r="B521" s="4" t="s">
        <v>579</v>
      </c>
      <c r="C521" s="4" t="s">
        <v>652</v>
      </c>
    </row>
    <row r="522">
      <c r="A522" s="4" t="s">
        <v>238</v>
      </c>
      <c r="B522" s="4" t="s">
        <v>579</v>
      </c>
      <c r="C522" s="4" t="s">
        <v>653</v>
      </c>
    </row>
    <row r="523">
      <c r="A523" s="4" t="s">
        <v>238</v>
      </c>
      <c r="B523" s="4" t="s">
        <v>579</v>
      </c>
      <c r="C523" s="4" t="s">
        <v>654</v>
      </c>
    </row>
    <row r="524">
      <c r="A524" s="4" t="s">
        <v>238</v>
      </c>
      <c r="B524" s="4" t="s">
        <v>579</v>
      </c>
      <c r="C524" s="4" t="s">
        <v>655</v>
      </c>
    </row>
    <row r="525">
      <c r="A525" s="4" t="s">
        <v>238</v>
      </c>
      <c r="B525" s="4" t="s">
        <v>579</v>
      </c>
      <c r="C525" s="4" t="s">
        <v>656</v>
      </c>
    </row>
    <row r="526">
      <c r="A526" s="4" t="s">
        <v>238</v>
      </c>
      <c r="B526" s="4" t="s">
        <v>579</v>
      </c>
      <c r="C526" s="4" t="s">
        <v>657</v>
      </c>
    </row>
    <row r="527">
      <c r="A527" s="4" t="s">
        <v>238</v>
      </c>
      <c r="B527" s="4" t="s">
        <v>579</v>
      </c>
      <c r="C527" s="4" t="s">
        <v>658</v>
      </c>
    </row>
    <row r="528">
      <c r="A528" s="4" t="s">
        <v>238</v>
      </c>
      <c r="B528" s="4" t="s">
        <v>579</v>
      </c>
      <c r="C528" s="4" t="s">
        <v>659</v>
      </c>
    </row>
    <row r="529">
      <c r="A529" s="4" t="s">
        <v>238</v>
      </c>
      <c r="B529" s="4" t="s">
        <v>579</v>
      </c>
      <c r="C529" s="4" t="s">
        <v>660</v>
      </c>
    </row>
    <row r="530">
      <c r="A530" s="4" t="s">
        <v>238</v>
      </c>
      <c r="B530" s="4" t="s">
        <v>579</v>
      </c>
      <c r="C530" s="4" t="s">
        <v>661</v>
      </c>
    </row>
    <row r="531">
      <c r="A531" s="4" t="s">
        <v>238</v>
      </c>
      <c r="B531" s="4" t="s">
        <v>579</v>
      </c>
      <c r="C531" s="4" t="s">
        <v>662</v>
      </c>
    </row>
    <row r="532">
      <c r="A532" s="4" t="s">
        <v>238</v>
      </c>
      <c r="B532" s="4" t="s">
        <v>579</v>
      </c>
      <c r="C532" s="4" t="s">
        <v>663</v>
      </c>
    </row>
    <row r="533">
      <c r="A533" s="4" t="s">
        <v>238</v>
      </c>
      <c r="B533" s="4" t="s">
        <v>579</v>
      </c>
      <c r="C533" s="4" t="s">
        <v>664</v>
      </c>
    </row>
    <row r="534">
      <c r="A534" s="4" t="s">
        <v>238</v>
      </c>
      <c r="B534" s="4" t="s">
        <v>579</v>
      </c>
      <c r="C534" s="4" t="s">
        <v>665</v>
      </c>
    </row>
    <row r="535">
      <c r="A535" s="4" t="s">
        <v>238</v>
      </c>
      <c r="B535" s="4" t="s">
        <v>579</v>
      </c>
      <c r="C535" s="4" t="s">
        <v>666</v>
      </c>
    </row>
    <row r="536">
      <c r="A536" s="4" t="s">
        <v>238</v>
      </c>
      <c r="B536" s="4" t="s">
        <v>579</v>
      </c>
      <c r="C536" s="4" t="s">
        <v>667</v>
      </c>
    </row>
    <row r="537">
      <c r="A537" s="4" t="s">
        <v>238</v>
      </c>
      <c r="B537" s="4" t="s">
        <v>579</v>
      </c>
      <c r="C537" s="4" t="s">
        <v>668</v>
      </c>
    </row>
    <row r="538">
      <c r="A538" s="4" t="s">
        <v>238</v>
      </c>
      <c r="B538" s="4" t="s">
        <v>579</v>
      </c>
      <c r="C538" s="4" t="s">
        <v>669</v>
      </c>
      <c r="W538" s="4">
        <v>2.0</v>
      </c>
    </row>
    <row r="539">
      <c r="A539" s="4" t="s">
        <v>238</v>
      </c>
      <c r="B539" s="4" t="s">
        <v>579</v>
      </c>
      <c r="C539" s="4" t="s">
        <v>670</v>
      </c>
    </row>
    <row r="540">
      <c r="A540" s="4" t="s">
        <v>238</v>
      </c>
      <c r="B540" s="4" t="s">
        <v>579</v>
      </c>
      <c r="C540" s="4" t="s">
        <v>671</v>
      </c>
      <c r="D540" s="4">
        <v>2.0</v>
      </c>
    </row>
    <row r="541">
      <c r="A541" s="4" t="s">
        <v>238</v>
      </c>
      <c r="B541" s="4" t="s">
        <v>579</v>
      </c>
      <c r="C541" s="4" t="s">
        <v>672</v>
      </c>
    </row>
    <row r="542">
      <c r="A542" s="4" t="s">
        <v>238</v>
      </c>
      <c r="B542" s="4" t="s">
        <v>579</v>
      </c>
      <c r="C542" s="4" t="s">
        <v>673</v>
      </c>
    </row>
    <row r="543">
      <c r="A543" s="4" t="s">
        <v>238</v>
      </c>
      <c r="B543" s="4" t="s">
        <v>579</v>
      </c>
      <c r="C543" s="4" t="s">
        <v>674</v>
      </c>
    </row>
    <row r="544">
      <c r="A544" s="4" t="s">
        <v>238</v>
      </c>
      <c r="B544" s="4" t="s">
        <v>579</v>
      </c>
      <c r="C544" s="4" t="s">
        <v>675</v>
      </c>
    </row>
    <row r="545">
      <c r="A545" s="4" t="s">
        <v>238</v>
      </c>
      <c r="B545" s="4" t="s">
        <v>579</v>
      </c>
      <c r="C545" s="4" t="s">
        <v>676</v>
      </c>
    </row>
    <row r="546">
      <c r="A546" s="4" t="s">
        <v>238</v>
      </c>
      <c r="B546" s="4" t="s">
        <v>579</v>
      </c>
      <c r="C546" s="4" t="s">
        <v>677</v>
      </c>
    </row>
    <row r="547">
      <c r="A547" s="4" t="s">
        <v>238</v>
      </c>
      <c r="B547" s="4" t="s">
        <v>579</v>
      </c>
      <c r="C547" s="4" t="s">
        <v>678</v>
      </c>
    </row>
    <row r="548">
      <c r="A548" s="4" t="s">
        <v>238</v>
      </c>
      <c r="B548" s="4" t="s">
        <v>579</v>
      </c>
      <c r="C548" s="4" t="s">
        <v>679</v>
      </c>
    </row>
    <row r="549">
      <c r="A549" s="4" t="s">
        <v>238</v>
      </c>
      <c r="B549" s="4" t="s">
        <v>579</v>
      </c>
      <c r="C549" s="4" t="s">
        <v>680</v>
      </c>
    </row>
    <row r="550">
      <c r="A550" s="4" t="s">
        <v>238</v>
      </c>
      <c r="B550" s="4" t="s">
        <v>579</v>
      </c>
      <c r="C550" s="4" t="s">
        <v>681</v>
      </c>
    </row>
    <row r="551">
      <c r="A551" s="4" t="s">
        <v>238</v>
      </c>
      <c r="B551" s="4" t="s">
        <v>579</v>
      </c>
      <c r="C551" s="4" t="s">
        <v>682</v>
      </c>
    </row>
    <row r="552">
      <c r="A552" s="4" t="s">
        <v>238</v>
      </c>
      <c r="B552" s="4" t="s">
        <v>579</v>
      </c>
      <c r="C552" s="4" t="s">
        <v>683</v>
      </c>
    </row>
    <row r="553">
      <c r="A553" s="4" t="s">
        <v>238</v>
      </c>
      <c r="B553" s="4" t="s">
        <v>579</v>
      </c>
      <c r="C553" s="4" t="s">
        <v>684</v>
      </c>
      <c r="M553" s="4">
        <v>2.0</v>
      </c>
    </row>
    <row r="554">
      <c r="A554" s="4" t="s">
        <v>238</v>
      </c>
      <c r="B554" s="4" t="s">
        <v>579</v>
      </c>
      <c r="C554" s="4" t="s">
        <v>685</v>
      </c>
    </row>
    <row r="555">
      <c r="A555" s="4" t="s">
        <v>238</v>
      </c>
      <c r="B555" s="4" t="s">
        <v>579</v>
      </c>
      <c r="C555" s="4" t="s">
        <v>686</v>
      </c>
    </row>
    <row r="556">
      <c r="A556" s="4" t="s">
        <v>238</v>
      </c>
      <c r="B556" s="4" t="s">
        <v>579</v>
      </c>
      <c r="C556" s="4" t="s">
        <v>687</v>
      </c>
    </row>
    <row r="557">
      <c r="A557" s="4" t="s">
        <v>238</v>
      </c>
      <c r="B557" s="4" t="s">
        <v>688</v>
      </c>
      <c r="C557" s="4" t="s">
        <v>689</v>
      </c>
    </row>
    <row r="558">
      <c r="A558" s="4" t="s">
        <v>238</v>
      </c>
      <c r="B558" s="4" t="s">
        <v>688</v>
      </c>
      <c r="C558" s="4" t="s">
        <v>690</v>
      </c>
    </row>
    <row r="559">
      <c r="A559" s="4" t="s">
        <v>238</v>
      </c>
      <c r="B559" s="4" t="s">
        <v>688</v>
      </c>
      <c r="C559" s="4" t="s">
        <v>691</v>
      </c>
    </row>
    <row r="560">
      <c r="A560" s="4" t="s">
        <v>238</v>
      </c>
      <c r="B560" s="4" t="s">
        <v>688</v>
      </c>
      <c r="C560" s="4" t="s">
        <v>692</v>
      </c>
    </row>
    <row r="561">
      <c r="A561" s="4" t="s">
        <v>238</v>
      </c>
      <c r="B561" s="4" t="s">
        <v>688</v>
      </c>
      <c r="C561" s="4" t="s">
        <v>693</v>
      </c>
    </row>
    <row r="562">
      <c r="A562" s="4" t="s">
        <v>238</v>
      </c>
      <c r="B562" s="4" t="s">
        <v>688</v>
      </c>
      <c r="C562" s="4" t="s">
        <v>694</v>
      </c>
    </row>
    <row r="563">
      <c r="A563" s="4" t="s">
        <v>238</v>
      </c>
      <c r="B563" s="4" t="s">
        <v>688</v>
      </c>
      <c r="C563" s="4" t="s">
        <v>695</v>
      </c>
    </row>
    <row r="564">
      <c r="A564" s="4" t="s">
        <v>238</v>
      </c>
      <c r="B564" s="4" t="s">
        <v>688</v>
      </c>
      <c r="C564" s="4" t="s">
        <v>696</v>
      </c>
    </row>
    <row r="565">
      <c r="A565" s="4" t="s">
        <v>238</v>
      </c>
      <c r="B565" s="4" t="s">
        <v>697</v>
      </c>
      <c r="C565" s="4" t="s">
        <v>698</v>
      </c>
    </row>
    <row r="566">
      <c r="A566" s="4" t="s">
        <v>238</v>
      </c>
      <c r="B566" s="4" t="s">
        <v>697</v>
      </c>
      <c r="C566" s="4" t="s">
        <v>699</v>
      </c>
    </row>
    <row r="567">
      <c r="A567" s="4" t="s">
        <v>238</v>
      </c>
      <c r="B567" s="4" t="s">
        <v>697</v>
      </c>
      <c r="C567" s="4" t="s">
        <v>700</v>
      </c>
    </row>
    <row r="568">
      <c r="A568" s="4" t="s">
        <v>238</v>
      </c>
      <c r="B568" s="4" t="s">
        <v>697</v>
      </c>
      <c r="C568" s="4" t="s">
        <v>701</v>
      </c>
    </row>
    <row r="569">
      <c r="A569" s="4" t="s">
        <v>238</v>
      </c>
      <c r="B569" s="4" t="s">
        <v>697</v>
      </c>
      <c r="C569" s="4" t="s">
        <v>702</v>
      </c>
    </row>
    <row r="570">
      <c r="A570" s="4" t="s">
        <v>238</v>
      </c>
      <c r="B570" s="4" t="s">
        <v>697</v>
      </c>
      <c r="C570" s="4" t="s">
        <v>703</v>
      </c>
    </row>
    <row r="571">
      <c r="A571" s="4" t="s">
        <v>238</v>
      </c>
      <c r="B571" s="4" t="s">
        <v>697</v>
      </c>
      <c r="C571" s="4" t="s">
        <v>704</v>
      </c>
    </row>
    <row r="572">
      <c r="A572" s="4" t="s">
        <v>238</v>
      </c>
      <c r="B572" s="4" t="s">
        <v>697</v>
      </c>
      <c r="C572" s="4" t="s">
        <v>705</v>
      </c>
    </row>
    <row r="573">
      <c r="A573" s="4" t="s">
        <v>238</v>
      </c>
      <c r="B573" s="4" t="s">
        <v>706</v>
      </c>
      <c r="C573" s="4" t="s">
        <v>707</v>
      </c>
    </row>
    <row r="574">
      <c r="A574" s="4" t="s">
        <v>238</v>
      </c>
      <c r="B574" s="4" t="s">
        <v>706</v>
      </c>
      <c r="C574" s="4" t="s">
        <v>708</v>
      </c>
    </row>
    <row r="575">
      <c r="A575" s="4" t="s">
        <v>238</v>
      </c>
      <c r="B575" s="4" t="s">
        <v>706</v>
      </c>
      <c r="C575" s="4" t="s">
        <v>709</v>
      </c>
    </row>
    <row r="576">
      <c r="A576" s="4" t="s">
        <v>238</v>
      </c>
      <c r="B576" s="4" t="s">
        <v>706</v>
      </c>
      <c r="C576" s="4" t="s">
        <v>710</v>
      </c>
    </row>
    <row r="577">
      <c r="A577" s="4" t="s">
        <v>238</v>
      </c>
      <c r="B577" s="4" t="s">
        <v>706</v>
      </c>
      <c r="C577" s="4" t="s">
        <v>711</v>
      </c>
    </row>
    <row r="578">
      <c r="A578" s="4" t="s">
        <v>238</v>
      </c>
      <c r="B578" s="4" t="s">
        <v>706</v>
      </c>
      <c r="C578" s="4" t="s">
        <v>712</v>
      </c>
    </row>
    <row r="579">
      <c r="A579" s="4" t="s">
        <v>238</v>
      </c>
      <c r="B579" s="4" t="s">
        <v>706</v>
      </c>
      <c r="C579" s="4" t="s">
        <v>713</v>
      </c>
    </row>
    <row r="580">
      <c r="A580" s="4" t="s">
        <v>238</v>
      </c>
      <c r="B580" s="4" t="s">
        <v>706</v>
      </c>
      <c r="C580" s="4" t="s">
        <v>714</v>
      </c>
    </row>
    <row r="581">
      <c r="A581" s="4" t="s">
        <v>238</v>
      </c>
      <c r="B581" s="4" t="s">
        <v>706</v>
      </c>
      <c r="C581" s="4" t="s">
        <v>715</v>
      </c>
    </row>
    <row r="582">
      <c r="A582" s="4" t="s">
        <v>238</v>
      </c>
      <c r="B582" s="4" t="s">
        <v>706</v>
      </c>
      <c r="C582" s="4" t="s">
        <v>716</v>
      </c>
    </row>
    <row r="583">
      <c r="A583" s="4" t="s">
        <v>238</v>
      </c>
      <c r="B583" s="4" t="s">
        <v>706</v>
      </c>
      <c r="C583" s="4" t="s">
        <v>717</v>
      </c>
    </row>
    <row r="584">
      <c r="A584" s="4" t="s">
        <v>238</v>
      </c>
      <c r="B584" s="4" t="s">
        <v>706</v>
      </c>
      <c r="C584" s="4" t="s">
        <v>718</v>
      </c>
    </row>
    <row r="585">
      <c r="A585" s="4" t="s">
        <v>238</v>
      </c>
      <c r="B585" s="4" t="s">
        <v>706</v>
      </c>
      <c r="C585" s="4" t="s">
        <v>719</v>
      </c>
    </row>
    <row r="586">
      <c r="A586" s="4" t="s">
        <v>238</v>
      </c>
      <c r="B586" s="4" t="s">
        <v>706</v>
      </c>
      <c r="C586" s="4" t="s">
        <v>720</v>
      </c>
    </row>
    <row r="587">
      <c r="A587" s="4" t="s">
        <v>238</v>
      </c>
      <c r="B587" s="4" t="s">
        <v>706</v>
      </c>
      <c r="C587" s="4" t="s">
        <v>721</v>
      </c>
    </row>
    <row r="588">
      <c r="A588" s="4" t="s">
        <v>238</v>
      </c>
      <c r="B588" s="4" t="s">
        <v>722</v>
      </c>
      <c r="C588" s="4" t="s">
        <v>723</v>
      </c>
    </row>
    <row r="589">
      <c r="A589" s="4" t="s">
        <v>238</v>
      </c>
      <c r="B589" s="4" t="s">
        <v>722</v>
      </c>
      <c r="C589" s="4" t="s">
        <v>724</v>
      </c>
    </row>
    <row r="590">
      <c r="A590" s="4" t="s">
        <v>238</v>
      </c>
      <c r="B590" s="4" t="s">
        <v>725</v>
      </c>
      <c r="C590" s="4" t="s">
        <v>726</v>
      </c>
      <c r="F590" s="4">
        <v>1.0</v>
      </c>
      <c r="I590" s="4">
        <v>1.0</v>
      </c>
    </row>
    <row r="591">
      <c r="A591" s="4" t="s">
        <v>238</v>
      </c>
      <c r="B591" s="4" t="s">
        <v>725</v>
      </c>
      <c r="C591" s="4" t="s">
        <v>727</v>
      </c>
      <c r="F591" s="4">
        <v>1.0</v>
      </c>
      <c r="I591" s="4">
        <v>1.0</v>
      </c>
    </row>
    <row r="592">
      <c r="A592" s="4" t="s">
        <v>238</v>
      </c>
      <c r="B592" s="4" t="s">
        <v>728</v>
      </c>
      <c r="C592" s="4" t="s">
        <v>729</v>
      </c>
    </row>
    <row r="593">
      <c r="A593" s="4" t="s">
        <v>238</v>
      </c>
      <c r="B593" s="4" t="s">
        <v>728</v>
      </c>
      <c r="C593" s="4" t="s">
        <v>730</v>
      </c>
    </row>
    <row r="594">
      <c r="A594" s="4" t="s">
        <v>238</v>
      </c>
      <c r="B594" s="4" t="s">
        <v>728</v>
      </c>
      <c r="C594" s="4" t="s">
        <v>731</v>
      </c>
    </row>
    <row r="595">
      <c r="A595" s="4" t="s">
        <v>238</v>
      </c>
      <c r="B595" s="4" t="s">
        <v>728</v>
      </c>
      <c r="C595" s="4" t="s">
        <v>732</v>
      </c>
    </row>
    <row r="596">
      <c r="A596" s="4" t="s">
        <v>238</v>
      </c>
      <c r="B596" s="4" t="s">
        <v>728</v>
      </c>
      <c r="C596" s="4" t="s">
        <v>733</v>
      </c>
    </row>
    <row r="597">
      <c r="A597" s="4" t="s">
        <v>238</v>
      </c>
      <c r="B597" s="4" t="s">
        <v>728</v>
      </c>
      <c r="C597" s="4" t="s">
        <v>734</v>
      </c>
    </row>
    <row r="598">
      <c r="A598" s="4" t="s">
        <v>238</v>
      </c>
      <c r="B598" s="4" t="s">
        <v>735</v>
      </c>
      <c r="C598" s="4" t="s">
        <v>736</v>
      </c>
    </row>
    <row r="599">
      <c r="A599" s="4" t="s">
        <v>238</v>
      </c>
      <c r="B599" s="4" t="s">
        <v>737</v>
      </c>
      <c r="C599" s="4" t="s">
        <v>738</v>
      </c>
    </row>
    <row r="600">
      <c r="A600" s="4" t="s">
        <v>238</v>
      </c>
      <c r="B600" s="4" t="s">
        <v>737</v>
      </c>
      <c r="C600" s="4" t="s">
        <v>739</v>
      </c>
    </row>
    <row r="601">
      <c r="A601" s="4" t="s">
        <v>238</v>
      </c>
      <c r="B601" s="4" t="s">
        <v>740</v>
      </c>
      <c r="C601" s="4" t="s">
        <v>741</v>
      </c>
    </row>
    <row r="602">
      <c r="A602" s="4" t="s">
        <v>238</v>
      </c>
      <c r="B602" s="4" t="s">
        <v>740</v>
      </c>
      <c r="C602" s="4" t="s">
        <v>742</v>
      </c>
    </row>
    <row r="603">
      <c r="A603" s="4" t="s">
        <v>238</v>
      </c>
      <c r="B603" s="4" t="s">
        <v>740</v>
      </c>
      <c r="C603" s="4" t="s">
        <v>743</v>
      </c>
    </row>
    <row r="604">
      <c r="A604" s="4" t="s">
        <v>238</v>
      </c>
      <c r="B604" s="4" t="s">
        <v>740</v>
      </c>
      <c r="C604" s="4" t="s">
        <v>744</v>
      </c>
    </row>
    <row r="605">
      <c r="A605" s="4" t="s">
        <v>238</v>
      </c>
      <c r="B605" s="4" t="s">
        <v>740</v>
      </c>
      <c r="C605" s="4" t="s">
        <v>745</v>
      </c>
    </row>
    <row r="606">
      <c r="A606" s="4" t="s">
        <v>238</v>
      </c>
      <c r="B606" s="4" t="s">
        <v>740</v>
      </c>
      <c r="C606" s="4" t="s">
        <v>746</v>
      </c>
    </row>
    <row r="607">
      <c r="A607" s="4" t="s">
        <v>238</v>
      </c>
      <c r="B607" s="4" t="s">
        <v>740</v>
      </c>
      <c r="C607" s="4" t="s">
        <v>747</v>
      </c>
    </row>
    <row r="608">
      <c r="A608" s="4" t="s">
        <v>238</v>
      </c>
      <c r="B608" s="4" t="s">
        <v>740</v>
      </c>
      <c r="C608" s="4" t="s">
        <v>748</v>
      </c>
    </row>
    <row r="609">
      <c r="A609" s="4" t="s">
        <v>238</v>
      </c>
      <c r="B609" s="4" t="s">
        <v>740</v>
      </c>
      <c r="C609" s="4" t="s">
        <v>749</v>
      </c>
    </row>
    <row r="610">
      <c r="A610" s="4" t="s">
        <v>238</v>
      </c>
      <c r="B610" s="4" t="s">
        <v>740</v>
      </c>
      <c r="C610" s="4" t="s">
        <v>750</v>
      </c>
    </row>
    <row r="611">
      <c r="A611" s="4" t="s">
        <v>238</v>
      </c>
      <c r="B611" s="4" t="s">
        <v>740</v>
      </c>
      <c r="C611" s="4" t="s">
        <v>751</v>
      </c>
    </row>
    <row r="612">
      <c r="A612" s="4" t="s">
        <v>238</v>
      </c>
      <c r="B612" s="4" t="s">
        <v>740</v>
      </c>
      <c r="C612" s="4" t="s">
        <v>752</v>
      </c>
      <c r="L612" s="4">
        <v>1.0</v>
      </c>
    </row>
    <row r="613">
      <c r="A613" s="4" t="s">
        <v>238</v>
      </c>
      <c r="B613" s="4" t="s">
        <v>740</v>
      </c>
      <c r="C613" s="4" t="s">
        <v>753</v>
      </c>
    </row>
    <row r="614">
      <c r="A614" s="4" t="s">
        <v>238</v>
      </c>
      <c r="B614" s="4" t="s">
        <v>740</v>
      </c>
      <c r="C614" s="4" t="s">
        <v>754</v>
      </c>
    </row>
    <row r="615">
      <c r="A615" s="4" t="s">
        <v>238</v>
      </c>
      <c r="B615" s="4" t="s">
        <v>755</v>
      </c>
      <c r="C615" s="4" t="s">
        <v>756</v>
      </c>
    </row>
    <row r="616">
      <c r="A616" s="4" t="s">
        <v>238</v>
      </c>
      <c r="B616" s="4" t="s">
        <v>755</v>
      </c>
      <c r="C616" s="4" t="s">
        <v>757</v>
      </c>
      <c r="AJ616" s="4">
        <v>1.0</v>
      </c>
    </row>
    <row r="617">
      <c r="A617" s="4" t="s">
        <v>238</v>
      </c>
      <c r="B617" s="4" t="s">
        <v>755</v>
      </c>
      <c r="C617" s="4" t="s">
        <v>758</v>
      </c>
    </row>
    <row r="618">
      <c r="A618" s="4" t="s">
        <v>238</v>
      </c>
      <c r="B618" s="4" t="s">
        <v>755</v>
      </c>
      <c r="C618" s="4" t="s">
        <v>759</v>
      </c>
    </row>
    <row r="619">
      <c r="A619" s="4" t="s">
        <v>238</v>
      </c>
      <c r="B619" s="4" t="s">
        <v>755</v>
      </c>
      <c r="C619" s="4" t="s">
        <v>760</v>
      </c>
    </row>
    <row r="620">
      <c r="A620" s="4" t="s">
        <v>238</v>
      </c>
      <c r="B620" s="4" t="s">
        <v>755</v>
      </c>
      <c r="C620" s="4" t="s">
        <v>761</v>
      </c>
    </row>
    <row r="621">
      <c r="A621" s="4" t="s">
        <v>238</v>
      </c>
      <c r="B621" s="4" t="s">
        <v>755</v>
      </c>
      <c r="C621" s="4" t="s">
        <v>762</v>
      </c>
    </row>
    <row r="622">
      <c r="A622" s="4" t="s">
        <v>238</v>
      </c>
      <c r="B622" s="4" t="s">
        <v>755</v>
      </c>
      <c r="C622" s="4" t="s">
        <v>763</v>
      </c>
    </row>
    <row r="623">
      <c r="A623" s="4" t="s">
        <v>238</v>
      </c>
      <c r="B623" s="4" t="s">
        <v>755</v>
      </c>
      <c r="C623" s="4" t="s">
        <v>764</v>
      </c>
    </row>
    <row r="624">
      <c r="A624" s="4" t="s">
        <v>238</v>
      </c>
      <c r="B624" s="4" t="s">
        <v>755</v>
      </c>
      <c r="C624" s="4" t="s">
        <v>765</v>
      </c>
      <c r="AJ624" s="4">
        <v>1.0</v>
      </c>
    </row>
    <row r="625">
      <c r="A625" s="4" t="s">
        <v>238</v>
      </c>
      <c r="B625" s="4" t="s">
        <v>755</v>
      </c>
      <c r="C625" s="4" t="s">
        <v>766</v>
      </c>
      <c r="AJ625" s="4">
        <v>6.0</v>
      </c>
    </row>
    <row r="626">
      <c r="A626" s="4" t="s">
        <v>238</v>
      </c>
      <c r="B626" s="4" t="s">
        <v>755</v>
      </c>
      <c r="C626" s="4" t="s">
        <v>766</v>
      </c>
      <c r="AJ626" s="4">
        <v>1.0</v>
      </c>
    </row>
    <row r="627">
      <c r="A627" s="4" t="s">
        <v>238</v>
      </c>
      <c r="B627" s="4" t="s">
        <v>755</v>
      </c>
      <c r="C627" s="4" t="s">
        <v>767</v>
      </c>
    </row>
    <row r="628">
      <c r="A628" s="4" t="s">
        <v>238</v>
      </c>
      <c r="B628" s="4" t="s">
        <v>755</v>
      </c>
      <c r="C628" s="4" t="s">
        <v>768</v>
      </c>
    </row>
    <row r="629">
      <c r="A629" s="4" t="s">
        <v>238</v>
      </c>
      <c r="B629" s="4" t="s">
        <v>755</v>
      </c>
      <c r="C629" s="4" t="s">
        <v>769</v>
      </c>
    </row>
    <row r="630">
      <c r="A630" s="4" t="s">
        <v>238</v>
      </c>
      <c r="B630" s="4" t="s">
        <v>755</v>
      </c>
      <c r="C630" s="4" t="s">
        <v>770</v>
      </c>
    </row>
    <row r="631">
      <c r="A631" s="4" t="s">
        <v>238</v>
      </c>
      <c r="B631" s="4" t="s">
        <v>755</v>
      </c>
      <c r="C631" s="4" t="s">
        <v>771</v>
      </c>
    </row>
    <row r="632">
      <c r="A632" s="4" t="s">
        <v>238</v>
      </c>
      <c r="B632" s="4" t="s">
        <v>755</v>
      </c>
      <c r="C632" s="4" t="s">
        <v>772</v>
      </c>
    </row>
    <row r="633">
      <c r="A633" s="4" t="s">
        <v>238</v>
      </c>
      <c r="B633" s="4" t="s">
        <v>773</v>
      </c>
      <c r="C633" s="4" t="s">
        <v>774</v>
      </c>
    </row>
    <row r="634">
      <c r="A634" s="4" t="s">
        <v>238</v>
      </c>
      <c r="B634" s="4" t="s">
        <v>773</v>
      </c>
      <c r="C634" s="4" t="s">
        <v>775</v>
      </c>
    </row>
    <row r="635">
      <c r="A635" s="4" t="s">
        <v>238</v>
      </c>
      <c r="B635" s="4" t="s">
        <v>773</v>
      </c>
      <c r="C635" s="4" t="s">
        <v>776</v>
      </c>
      <c r="P635" s="4">
        <v>1.0</v>
      </c>
    </row>
    <row r="636">
      <c r="A636" s="4" t="s">
        <v>238</v>
      </c>
      <c r="B636" s="4" t="s">
        <v>773</v>
      </c>
      <c r="C636" s="4" t="s">
        <v>777</v>
      </c>
    </row>
    <row r="637">
      <c r="A637" s="4" t="s">
        <v>238</v>
      </c>
      <c r="B637" s="4" t="s">
        <v>773</v>
      </c>
      <c r="C637" s="4" t="s">
        <v>778</v>
      </c>
    </row>
    <row r="638">
      <c r="A638" s="4" t="s">
        <v>238</v>
      </c>
      <c r="B638" s="4" t="s">
        <v>773</v>
      </c>
      <c r="C638" s="4" t="s">
        <v>779</v>
      </c>
    </row>
    <row r="639">
      <c r="A639" s="4" t="s">
        <v>238</v>
      </c>
      <c r="B639" s="4" t="s">
        <v>773</v>
      </c>
      <c r="C639" s="4" t="s">
        <v>780</v>
      </c>
    </row>
    <row r="640">
      <c r="A640" s="4" t="s">
        <v>238</v>
      </c>
      <c r="B640" s="4" t="s">
        <v>773</v>
      </c>
      <c r="C640" s="4" t="s">
        <v>781</v>
      </c>
    </row>
    <row r="641">
      <c r="A641" s="4" t="s">
        <v>238</v>
      </c>
      <c r="B641" s="4" t="s">
        <v>773</v>
      </c>
      <c r="C641" s="4" t="s">
        <v>782</v>
      </c>
    </row>
    <row r="642">
      <c r="A642" s="4" t="s">
        <v>238</v>
      </c>
      <c r="B642" s="4" t="s">
        <v>773</v>
      </c>
      <c r="C642" s="4" t="s">
        <v>783</v>
      </c>
      <c r="P642" s="4">
        <v>3.0</v>
      </c>
    </row>
    <row r="643">
      <c r="A643" s="4" t="s">
        <v>238</v>
      </c>
      <c r="B643" s="4" t="s">
        <v>773</v>
      </c>
      <c r="C643" s="4" t="s">
        <v>784</v>
      </c>
    </row>
    <row r="644">
      <c r="A644" s="4" t="s">
        <v>238</v>
      </c>
      <c r="B644" s="4" t="s">
        <v>773</v>
      </c>
      <c r="C644" s="4" t="s">
        <v>785</v>
      </c>
    </row>
    <row r="645">
      <c r="A645" s="4" t="s">
        <v>238</v>
      </c>
      <c r="B645" s="4" t="s">
        <v>773</v>
      </c>
      <c r="C645" s="4" t="s">
        <v>786</v>
      </c>
      <c r="P645" s="4">
        <v>2.0</v>
      </c>
    </row>
    <row r="646">
      <c r="A646" s="4" t="s">
        <v>238</v>
      </c>
      <c r="B646" s="4" t="s">
        <v>773</v>
      </c>
      <c r="C646" s="4" t="s">
        <v>787</v>
      </c>
    </row>
    <row r="647">
      <c r="A647" s="4" t="s">
        <v>238</v>
      </c>
      <c r="B647" s="4" t="s">
        <v>773</v>
      </c>
      <c r="C647" s="4" t="s">
        <v>788</v>
      </c>
    </row>
    <row r="648">
      <c r="A648" s="4" t="s">
        <v>238</v>
      </c>
      <c r="B648" s="4" t="s">
        <v>773</v>
      </c>
      <c r="C648" s="4" t="s">
        <v>789</v>
      </c>
    </row>
    <row r="649">
      <c r="A649" s="4" t="s">
        <v>238</v>
      </c>
      <c r="B649" s="4" t="s">
        <v>773</v>
      </c>
      <c r="C649" s="4" t="s">
        <v>790</v>
      </c>
    </row>
    <row r="650">
      <c r="A650" s="4" t="s">
        <v>238</v>
      </c>
      <c r="B650" s="4" t="s">
        <v>773</v>
      </c>
      <c r="C650" s="4" t="s">
        <v>791</v>
      </c>
    </row>
    <row r="651">
      <c r="A651" s="4" t="s">
        <v>238</v>
      </c>
      <c r="B651" s="4" t="s">
        <v>773</v>
      </c>
      <c r="C651" s="4" t="s">
        <v>792</v>
      </c>
      <c r="P651" s="4">
        <v>1.0</v>
      </c>
    </row>
    <row r="652">
      <c r="A652" s="4" t="s">
        <v>238</v>
      </c>
      <c r="B652" s="4" t="s">
        <v>793</v>
      </c>
      <c r="C652" s="4" t="s">
        <v>794</v>
      </c>
    </row>
    <row r="653">
      <c r="A653" s="4" t="s">
        <v>238</v>
      </c>
      <c r="B653" s="4" t="s">
        <v>793</v>
      </c>
      <c r="C653" s="4" t="s">
        <v>795</v>
      </c>
    </row>
    <row r="654">
      <c r="A654" s="4" t="s">
        <v>238</v>
      </c>
      <c r="B654" s="4" t="s">
        <v>793</v>
      </c>
      <c r="C654" s="4" t="s">
        <v>796</v>
      </c>
    </row>
    <row r="655">
      <c r="A655" s="4" t="s">
        <v>238</v>
      </c>
      <c r="B655" s="4" t="s">
        <v>793</v>
      </c>
      <c r="C655" s="4" t="s">
        <v>797</v>
      </c>
    </row>
    <row r="656">
      <c r="A656" s="4" t="s">
        <v>238</v>
      </c>
      <c r="B656" s="4" t="s">
        <v>798</v>
      </c>
      <c r="C656" s="4" t="s">
        <v>799</v>
      </c>
    </row>
    <row r="657">
      <c r="A657" s="4" t="s">
        <v>238</v>
      </c>
      <c r="B657" s="4" t="s">
        <v>800</v>
      </c>
      <c r="C657" s="4" t="s">
        <v>801</v>
      </c>
    </row>
    <row r="658">
      <c r="A658" s="4" t="s">
        <v>238</v>
      </c>
      <c r="B658" s="4" t="s">
        <v>800</v>
      </c>
      <c r="C658" s="4" t="s">
        <v>802</v>
      </c>
    </row>
    <row r="659">
      <c r="A659" s="4" t="s">
        <v>238</v>
      </c>
      <c r="B659" s="4" t="s">
        <v>800</v>
      </c>
      <c r="C659" s="4" t="s">
        <v>803</v>
      </c>
      <c r="F659" s="4">
        <v>1.0</v>
      </c>
    </row>
    <row r="660">
      <c r="A660" s="4" t="s">
        <v>238</v>
      </c>
      <c r="B660" s="4" t="s">
        <v>800</v>
      </c>
      <c r="C660" s="4" t="s">
        <v>804</v>
      </c>
    </row>
    <row r="661">
      <c r="A661" s="4" t="s">
        <v>238</v>
      </c>
      <c r="B661" s="4" t="s">
        <v>800</v>
      </c>
      <c r="C661" s="4" t="s">
        <v>805</v>
      </c>
    </row>
    <row r="662">
      <c r="A662" s="4" t="s">
        <v>238</v>
      </c>
      <c r="B662" s="4" t="s">
        <v>800</v>
      </c>
      <c r="C662" s="4" t="s">
        <v>806</v>
      </c>
    </row>
    <row r="663">
      <c r="A663" s="4" t="s">
        <v>238</v>
      </c>
      <c r="B663" s="4" t="s">
        <v>800</v>
      </c>
      <c r="C663" s="4" t="s">
        <v>807</v>
      </c>
    </row>
    <row r="664">
      <c r="A664" s="4" t="s">
        <v>238</v>
      </c>
      <c r="B664" s="4" t="s">
        <v>800</v>
      </c>
      <c r="C664" s="4" t="s">
        <v>808</v>
      </c>
    </row>
    <row r="665">
      <c r="A665" s="4" t="s">
        <v>238</v>
      </c>
      <c r="B665" s="4" t="s">
        <v>800</v>
      </c>
      <c r="C665" s="4" t="s">
        <v>809</v>
      </c>
    </row>
    <row r="666">
      <c r="A666" s="4" t="s">
        <v>238</v>
      </c>
      <c r="B666" s="4" t="s">
        <v>800</v>
      </c>
      <c r="C666" s="4" t="s">
        <v>810</v>
      </c>
      <c r="F666" s="4">
        <v>1.0</v>
      </c>
      <c r="I666" s="4">
        <v>1.0</v>
      </c>
    </row>
    <row r="667">
      <c r="A667" s="4" t="s">
        <v>238</v>
      </c>
      <c r="B667" s="4" t="s">
        <v>800</v>
      </c>
      <c r="C667" s="4" t="s">
        <v>811</v>
      </c>
    </row>
    <row r="668">
      <c r="A668" s="4" t="s">
        <v>238</v>
      </c>
      <c r="B668" s="4" t="s">
        <v>800</v>
      </c>
      <c r="C668" s="4" t="s">
        <v>812</v>
      </c>
    </row>
    <row r="669">
      <c r="A669" s="4" t="s">
        <v>238</v>
      </c>
      <c r="B669" s="4" t="s">
        <v>800</v>
      </c>
      <c r="C669" s="4" t="s">
        <v>813</v>
      </c>
    </row>
    <row r="670">
      <c r="A670" s="4" t="s">
        <v>238</v>
      </c>
      <c r="B670" s="4" t="s">
        <v>800</v>
      </c>
      <c r="C670" s="4" t="s">
        <v>814</v>
      </c>
    </row>
    <row r="671">
      <c r="A671" s="4" t="s">
        <v>238</v>
      </c>
      <c r="B671" s="4" t="s">
        <v>815</v>
      </c>
      <c r="C671" s="4" t="s">
        <v>816</v>
      </c>
    </row>
    <row r="672">
      <c r="A672" s="4" t="s">
        <v>238</v>
      </c>
      <c r="B672" s="4" t="s">
        <v>815</v>
      </c>
      <c r="C672" s="4" t="s">
        <v>817</v>
      </c>
    </row>
    <row r="673">
      <c r="A673" s="4" t="s">
        <v>238</v>
      </c>
      <c r="B673" s="4" t="s">
        <v>815</v>
      </c>
      <c r="C673" s="4" t="s">
        <v>818</v>
      </c>
    </row>
    <row r="674">
      <c r="A674" s="4" t="s">
        <v>238</v>
      </c>
      <c r="B674" s="4" t="s">
        <v>819</v>
      </c>
      <c r="C674" s="4" t="s">
        <v>820</v>
      </c>
    </row>
    <row r="675">
      <c r="A675" s="4" t="s">
        <v>238</v>
      </c>
      <c r="B675" s="4" t="s">
        <v>821</v>
      </c>
      <c r="C675" s="4" t="s">
        <v>822</v>
      </c>
    </row>
    <row r="676">
      <c r="A676" s="4" t="s">
        <v>238</v>
      </c>
      <c r="B676" s="4" t="s">
        <v>821</v>
      </c>
      <c r="C676" s="4" t="s">
        <v>823</v>
      </c>
    </row>
    <row r="677">
      <c r="A677" s="4" t="s">
        <v>238</v>
      </c>
      <c r="B677" s="4" t="s">
        <v>821</v>
      </c>
      <c r="C677" s="4" t="s">
        <v>824</v>
      </c>
    </row>
    <row r="678">
      <c r="A678" s="4" t="s">
        <v>238</v>
      </c>
      <c r="B678" s="4" t="s">
        <v>821</v>
      </c>
      <c r="C678" s="4" t="s">
        <v>825</v>
      </c>
    </row>
    <row r="679">
      <c r="A679" s="4" t="s">
        <v>238</v>
      </c>
      <c r="B679" s="4" t="s">
        <v>826</v>
      </c>
      <c r="C679" s="4" t="s">
        <v>827</v>
      </c>
    </row>
    <row r="680">
      <c r="A680" s="4" t="s">
        <v>238</v>
      </c>
      <c r="B680" s="4" t="s">
        <v>826</v>
      </c>
      <c r="C680" s="4" t="s">
        <v>828</v>
      </c>
    </row>
    <row r="681">
      <c r="A681" s="4" t="s">
        <v>238</v>
      </c>
      <c r="B681" s="4" t="s">
        <v>826</v>
      </c>
      <c r="C681" s="4" t="s">
        <v>829</v>
      </c>
    </row>
    <row r="682">
      <c r="A682" s="4" t="s">
        <v>238</v>
      </c>
      <c r="B682" s="4" t="s">
        <v>826</v>
      </c>
      <c r="C682" s="4" t="s">
        <v>830</v>
      </c>
      <c r="F682" s="4">
        <v>1.0</v>
      </c>
      <c r="I682" s="4">
        <v>1.0</v>
      </c>
    </row>
    <row r="683">
      <c r="A683" s="4" t="s">
        <v>238</v>
      </c>
      <c r="B683" s="4" t="s">
        <v>826</v>
      </c>
      <c r="C683" s="4" t="s">
        <v>831</v>
      </c>
    </row>
    <row r="684">
      <c r="A684" s="4" t="s">
        <v>238</v>
      </c>
      <c r="B684" s="4" t="s">
        <v>826</v>
      </c>
      <c r="C684" s="4" t="s">
        <v>832</v>
      </c>
      <c r="F684" s="4">
        <v>1.0</v>
      </c>
      <c r="I684" s="4">
        <v>1.0</v>
      </c>
    </row>
    <row r="685">
      <c r="A685" s="4" t="s">
        <v>238</v>
      </c>
      <c r="B685" s="4" t="s">
        <v>826</v>
      </c>
      <c r="C685" s="4" t="s">
        <v>833</v>
      </c>
    </row>
    <row r="686">
      <c r="A686" s="4" t="s">
        <v>238</v>
      </c>
      <c r="B686" s="4" t="s">
        <v>826</v>
      </c>
      <c r="C686" s="4" t="s">
        <v>834</v>
      </c>
    </row>
    <row r="687">
      <c r="A687" s="4" t="s">
        <v>238</v>
      </c>
      <c r="B687" s="4" t="s">
        <v>835</v>
      </c>
      <c r="C687" s="4" t="s">
        <v>836</v>
      </c>
    </row>
    <row r="688">
      <c r="A688" s="4" t="s">
        <v>238</v>
      </c>
      <c r="B688" s="4" t="s">
        <v>835</v>
      </c>
      <c r="C688" s="4" t="s">
        <v>837</v>
      </c>
    </row>
    <row r="689">
      <c r="A689" s="4" t="s">
        <v>238</v>
      </c>
      <c r="B689" s="4" t="s">
        <v>835</v>
      </c>
      <c r="C689" s="4" t="s">
        <v>838</v>
      </c>
      <c r="E689" s="4">
        <v>1.0</v>
      </c>
      <c r="J689" s="4">
        <v>1.0</v>
      </c>
      <c r="K689" s="4">
        <v>1.0</v>
      </c>
    </row>
    <row r="690">
      <c r="A690" s="4" t="s">
        <v>238</v>
      </c>
      <c r="B690" s="4" t="s">
        <v>835</v>
      </c>
      <c r="C690" s="4" t="s">
        <v>839</v>
      </c>
    </row>
    <row r="691">
      <c r="A691" s="4" t="s">
        <v>238</v>
      </c>
      <c r="B691" s="4" t="s">
        <v>835</v>
      </c>
      <c r="C691" s="4" t="s">
        <v>840</v>
      </c>
    </row>
    <row r="692">
      <c r="A692" s="4" t="s">
        <v>238</v>
      </c>
      <c r="B692" s="4" t="s">
        <v>835</v>
      </c>
      <c r="C692" s="4" t="s">
        <v>841</v>
      </c>
    </row>
    <row r="693">
      <c r="A693" s="4" t="s">
        <v>238</v>
      </c>
      <c r="B693" s="4" t="s">
        <v>835</v>
      </c>
      <c r="C693" s="4" t="s">
        <v>842</v>
      </c>
    </row>
    <row r="694">
      <c r="A694" s="4" t="s">
        <v>238</v>
      </c>
      <c r="B694" s="4" t="s">
        <v>835</v>
      </c>
      <c r="C694" s="4" t="s">
        <v>843</v>
      </c>
    </row>
    <row r="695">
      <c r="A695" s="4" t="s">
        <v>238</v>
      </c>
      <c r="B695" s="4" t="s">
        <v>835</v>
      </c>
      <c r="C695" s="4" t="s">
        <v>844</v>
      </c>
    </row>
    <row r="696">
      <c r="A696" s="4" t="s">
        <v>238</v>
      </c>
      <c r="B696" s="4" t="s">
        <v>835</v>
      </c>
      <c r="C696" s="4" t="s">
        <v>845</v>
      </c>
      <c r="E696" s="4">
        <v>1.0</v>
      </c>
    </row>
    <row r="697">
      <c r="A697" s="4" t="s">
        <v>238</v>
      </c>
      <c r="B697" s="4" t="s">
        <v>835</v>
      </c>
      <c r="C697" s="4" t="s">
        <v>846</v>
      </c>
    </row>
    <row r="698">
      <c r="A698" s="4" t="s">
        <v>238</v>
      </c>
      <c r="B698" s="4" t="s">
        <v>835</v>
      </c>
      <c r="C698" s="4" t="s">
        <v>847</v>
      </c>
    </row>
    <row r="699">
      <c r="A699" s="4" t="s">
        <v>238</v>
      </c>
      <c r="B699" s="4" t="s">
        <v>835</v>
      </c>
      <c r="C699" s="4" t="s">
        <v>848</v>
      </c>
    </row>
    <row r="700">
      <c r="A700" s="4" t="s">
        <v>238</v>
      </c>
      <c r="B700" s="4" t="s">
        <v>835</v>
      </c>
      <c r="C700" s="4" t="s">
        <v>849</v>
      </c>
      <c r="E700" s="4">
        <v>1.0</v>
      </c>
      <c r="J700" s="4">
        <v>1.0</v>
      </c>
      <c r="K700" s="4">
        <v>1.0</v>
      </c>
    </row>
    <row r="701">
      <c r="A701" s="4" t="s">
        <v>238</v>
      </c>
      <c r="B701" s="4" t="s">
        <v>835</v>
      </c>
      <c r="C701" s="4" t="s">
        <v>850</v>
      </c>
    </row>
    <row r="702">
      <c r="A702" s="4" t="s">
        <v>238</v>
      </c>
      <c r="B702" s="4" t="s">
        <v>835</v>
      </c>
      <c r="C702" s="4" t="s">
        <v>851</v>
      </c>
    </row>
    <row r="703">
      <c r="A703" s="4" t="s">
        <v>238</v>
      </c>
      <c r="B703" s="4" t="s">
        <v>835</v>
      </c>
      <c r="C703" s="4" t="s">
        <v>852</v>
      </c>
    </row>
    <row r="704">
      <c r="A704" s="4" t="s">
        <v>238</v>
      </c>
      <c r="B704" s="4" t="s">
        <v>853</v>
      </c>
      <c r="C704" s="4" t="s">
        <v>854</v>
      </c>
    </row>
    <row r="705">
      <c r="A705" s="4" t="s">
        <v>238</v>
      </c>
      <c r="B705" s="4" t="s">
        <v>855</v>
      </c>
      <c r="C705" s="4" t="s">
        <v>856</v>
      </c>
    </row>
    <row r="706">
      <c r="A706" s="4" t="s">
        <v>238</v>
      </c>
      <c r="B706" s="4" t="s">
        <v>855</v>
      </c>
      <c r="C706" s="4" t="s">
        <v>857</v>
      </c>
    </row>
    <row r="707">
      <c r="A707" s="4" t="s">
        <v>238</v>
      </c>
      <c r="B707" s="4" t="s">
        <v>855</v>
      </c>
      <c r="C707" s="4" t="s">
        <v>858</v>
      </c>
    </row>
    <row r="708">
      <c r="A708" s="4" t="s">
        <v>238</v>
      </c>
      <c r="B708" s="4" t="s">
        <v>855</v>
      </c>
      <c r="C708" s="4" t="s">
        <v>859</v>
      </c>
    </row>
    <row r="709">
      <c r="A709" s="4" t="s">
        <v>238</v>
      </c>
      <c r="B709" s="4" t="s">
        <v>855</v>
      </c>
      <c r="C709" s="4" t="s">
        <v>860</v>
      </c>
    </row>
    <row r="710">
      <c r="A710" s="12" t="s">
        <v>238</v>
      </c>
      <c r="B710" s="4" t="s">
        <v>861</v>
      </c>
      <c r="C710" s="4" t="s">
        <v>862</v>
      </c>
    </row>
    <row r="711">
      <c r="A711" s="12" t="s">
        <v>238</v>
      </c>
      <c r="B711" s="4" t="s">
        <v>861</v>
      </c>
      <c r="C711" s="4" t="s">
        <v>863</v>
      </c>
    </row>
    <row r="712">
      <c r="A712" s="4" t="s">
        <v>238</v>
      </c>
      <c r="B712" s="4" t="s">
        <v>861</v>
      </c>
      <c r="C712" s="4" t="s">
        <v>864</v>
      </c>
    </row>
    <row r="713">
      <c r="A713" s="4" t="s">
        <v>238</v>
      </c>
      <c r="B713" s="4" t="s">
        <v>861</v>
      </c>
      <c r="C713" s="4" t="s">
        <v>865</v>
      </c>
    </row>
    <row r="714">
      <c r="A714" s="4" t="s">
        <v>238</v>
      </c>
      <c r="B714" s="4" t="s">
        <v>861</v>
      </c>
      <c r="C714" s="4" t="s">
        <v>866</v>
      </c>
    </row>
    <row r="715">
      <c r="A715" s="4" t="s">
        <v>238</v>
      </c>
      <c r="B715" s="4" t="s">
        <v>861</v>
      </c>
      <c r="C715" s="4" t="s">
        <v>867</v>
      </c>
    </row>
    <row r="716">
      <c r="A716" s="4" t="s">
        <v>238</v>
      </c>
      <c r="B716" s="4" t="s">
        <v>861</v>
      </c>
      <c r="C716" s="4" t="s">
        <v>868</v>
      </c>
    </row>
    <row r="717">
      <c r="A717" s="4" t="s">
        <v>238</v>
      </c>
      <c r="B717" s="4" t="s">
        <v>861</v>
      </c>
      <c r="C717" s="4" t="s">
        <v>869</v>
      </c>
    </row>
    <row r="718">
      <c r="A718" s="4" t="s">
        <v>238</v>
      </c>
      <c r="B718" s="4" t="s">
        <v>861</v>
      </c>
      <c r="C718" s="4" t="s">
        <v>870</v>
      </c>
    </row>
    <row r="719">
      <c r="A719" s="4" t="s">
        <v>238</v>
      </c>
      <c r="B719" s="4" t="s">
        <v>861</v>
      </c>
      <c r="C719" s="4" t="s">
        <v>871</v>
      </c>
    </row>
    <row r="720">
      <c r="A720" s="4" t="s">
        <v>238</v>
      </c>
      <c r="B720" s="4" t="s">
        <v>861</v>
      </c>
      <c r="C720" s="4" t="s">
        <v>872</v>
      </c>
      <c r="K720" s="4">
        <v>1.0</v>
      </c>
    </row>
    <row r="721">
      <c r="A721" s="4" t="s">
        <v>238</v>
      </c>
      <c r="B721" s="4" t="s">
        <v>873</v>
      </c>
      <c r="C721" s="4" t="s">
        <v>874</v>
      </c>
      <c r="K721" s="4">
        <v>3.0</v>
      </c>
    </row>
    <row r="722">
      <c r="A722" s="4" t="s">
        <v>238</v>
      </c>
      <c r="B722" s="4" t="s">
        <v>873</v>
      </c>
      <c r="C722" s="4" t="s">
        <v>875</v>
      </c>
      <c r="U722" s="4">
        <v>1.0</v>
      </c>
    </row>
    <row r="723">
      <c r="A723" s="4" t="s">
        <v>238</v>
      </c>
      <c r="B723" s="4" t="s">
        <v>876</v>
      </c>
      <c r="C723" s="4" t="s">
        <v>877</v>
      </c>
    </row>
    <row r="724">
      <c r="A724" s="4" t="s">
        <v>238</v>
      </c>
      <c r="B724" s="4" t="s">
        <v>876</v>
      </c>
      <c r="C724" s="4" t="s">
        <v>878</v>
      </c>
    </row>
    <row r="725">
      <c r="A725" s="4" t="s">
        <v>238</v>
      </c>
      <c r="B725" s="4" t="s">
        <v>876</v>
      </c>
      <c r="C725" s="4" t="s">
        <v>879</v>
      </c>
      <c r="F725" s="4">
        <v>1.0</v>
      </c>
      <c r="I725" s="4">
        <v>1.0</v>
      </c>
      <c r="K725" s="4">
        <v>1.0</v>
      </c>
      <c r="M725" s="4">
        <v>1.0</v>
      </c>
    </row>
    <row r="726">
      <c r="A726" s="4" t="s">
        <v>238</v>
      </c>
      <c r="B726" s="4" t="s">
        <v>876</v>
      </c>
      <c r="C726" s="4" t="s">
        <v>880</v>
      </c>
      <c r="F726" s="4">
        <v>1.0</v>
      </c>
      <c r="I726" s="4">
        <v>1.0</v>
      </c>
      <c r="K726" s="4">
        <v>1.0</v>
      </c>
      <c r="M726" s="4">
        <v>1.0</v>
      </c>
    </row>
    <row r="727">
      <c r="A727" s="4" t="s">
        <v>238</v>
      </c>
      <c r="B727" s="4" t="s">
        <v>876</v>
      </c>
      <c r="C727" s="4" t="s">
        <v>881</v>
      </c>
    </row>
    <row r="728">
      <c r="A728" s="4" t="s">
        <v>238</v>
      </c>
      <c r="B728" s="4" t="s">
        <v>882</v>
      </c>
      <c r="C728" s="4" t="s">
        <v>883</v>
      </c>
    </row>
    <row r="729">
      <c r="A729" s="4" t="s">
        <v>238</v>
      </c>
      <c r="B729" s="4" t="s">
        <v>882</v>
      </c>
      <c r="C729" s="4" t="s">
        <v>884</v>
      </c>
    </row>
    <row r="730">
      <c r="A730" s="4" t="s">
        <v>238</v>
      </c>
      <c r="B730" s="4" t="s">
        <v>885</v>
      </c>
      <c r="C730" s="4" t="s">
        <v>886</v>
      </c>
    </row>
    <row r="731">
      <c r="A731" s="4" t="s">
        <v>238</v>
      </c>
      <c r="B731" s="4" t="s">
        <v>885</v>
      </c>
      <c r="C731" s="4" t="s">
        <v>887</v>
      </c>
    </row>
    <row r="732">
      <c r="A732" s="4" t="s">
        <v>238</v>
      </c>
      <c r="B732" s="4" t="s">
        <v>885</v>
      </c>
      <c r="C732" s="4" t="s">
        <v>888</v>
      </c>
    </row>
    <row r="733">
      <c r="A733" s="4" t="s">
        <v>238</v>
      </c>
      <c r="B733" s="4" t="s">
        <v>885</v>
      </c>
      <c r="C733" s="4" t="s">
        <v>889</v>
      </c>
    </row>
    <row r="734">
      <c r="A734" s="4" t="s">
        <v>238</v>
      </c>
      <c r="B734" s="4" t="s">
        <v>885</v>
      </c>
      <c r="C734" s="4" t="s">
        <v>890</v>
      </c>
    </row>
    <row r="735">
      <c r="A735" s="4" t="s">
        <v>238</v>
      </c>
      <c r="B735" s="4" t="s">
        <v>891</v>
      </c>
      <c r="C735" s="4" t="s">
        <v>892</v>
      </c>
    </row>
    <row r="736">
      <c r="A736" s="4" t="s">
        <v>238</v>
      </c>
      <c r="B736" s="4" t="s">
        <v>891</v>
      </c>
      <c r="C736" s="4" t="s">
        <v>893</v>
      </c>
      <c r="T736" s="4">
        <v>1.0</v>
      </c>
    </row>
    <row r="737">
      <c r="A737" s="4" t="s">
        <v>238</v>
      </c>
      <c r="B737" s="4" t="s">
        <v>891</v>
      </c>
      <c r="C737" s="4" t="s">
        <v>894</v>
      </c>
    </row>
    <row r="738">
      <c r="A738" s="4" t="s">
        <v>238</v>
      </c>
      <c r="B738" s="4" t="s">
        <v>895</v>
      </c>
      <c r="C738" s="4" t="s">
        <v>896</v>
      </c>
      <c r="F738" s="4">
        <v>1.0</v>
      </c>
      <c r="I738" s="4">
        <v>1.0</v>
      </c>
      <c r="K738" s="4">
        <v>1.0</v>
      </c>
      <c r="M738" s="4">
        <v>1.0</v>
      </c>
    </row>
    <row r="739">
      <c r="A739" s="4" t="s">
        <v>238</v>
      </c>
      <c r="B739" s="4" t="s">
        <v>895</v>
      </c>
      <c r="C739" s="4" t="s">
        <v>897</v>
      </c>
      <c r="F739" s="4">
        <v>1.0</v>
      </c>
      <c r="I739" s="4">
        <v>1.0</v>
      </c>
      <c r="K739" s="4">
        <v>1.0</v>
      </c>
      <c r="M739" s="4">
        <v>1.0</v>
      </c>
    </row>
    <row r="740">
      <c r="A740" s="4" t="s">
        <v>238</v>
      </c>
      <c r="B740" s="4" t="s">
        <v>898</v>
      </c>
      <c r="C740" s="4" t="s">
        <v>899</v>
      </c>
    </row>
    <row r="741">
      <c r="A741" s="4" t="s">
        <v>238</v>
      </c>
      <c r="B741" s="4" t="s">
        <v>898</v>
      </c>
      <c r="C741" s="4" t="s">
        <v>900</v>
      </c>
    </row>
    <row r="742">
      <c r="A742" s="4" t="s">
        <v>238</v>
      </c>
      <c r="B742" s="4" t="s">
        <v>898</v>
      </c>
      <c r="C742" s="4" t="s">
        <v>901</v>
      </c>
    </row>
    <row r="743">
      <c r="A743" s="4" t="s">
        <v>238</v>
      </c>
      <c r="B743" s="4" t="s">
        <v>898</v>
      </c>
      <c r="C743" s="4" t="s">
        <v>902</v>
      </c>
    </row>
    <row r="744">
      <c r="A744" s="4" t="s">
        <v>238</v>
      </c>
      <c r="B744" s="4" t="s">
        <v>903</v>
      </c>
      <c r="C744" s="4" t="s">
        <v>904</v>
      </c>
    </row>
    <row r="745">
      <c r="A745" s="4" t="s">
        <v>238</v>
      </c>
      <c r="B745" s="4" t="s">
        <v>903</v>
      </c>
      <c r="C745" s="4" t="s">
        <v>905</v>
      </c>
    </row>
    <row r="746">
      <c r="A746" s="4" t="s">
        <v>238</v>
      </c>
      <c r="B746" s="4" t="s">
        <v>903</v>
      </c>
      <c r="C746" s="4" t="s">
        <v>906</v>
      </c>
    </row>
    <row r="747">
      <c r="A747" s="4" t="s">
        <v>238</v>
      </c>
      <c r="B747" s="4" t="s">
        <v>903</v>
      </c>
      <c r="C747" s="4" t="s">
        <v>907</v>
      </c>
    </row>
    <row r="748">
      <c r="A748" s="13" t="s">
        <v>238</v>
      </c>
      <c r="B748" s="4" t="s">
        <v>908</v>
      </c>
      <c r="C748" s="4" t="s">
        <v>909</v>
      </c>
    </row>
    <row r="749">
      <c r="A749" s="4" t="s">
        <v>238</v>
      </c>
      <c r="B749" s="4" t="s">
        <v>908</v>
      </c>
      <c r="C749" s="4" t="s">
        <v>910</v>
      </c>
      <c r="F749" s="4">
        <v>1.0</v>
      </c>
      <c r="I749" s="4">
        <v>1.0</v>
      </c>
      <c r="M749" s="4">
        <v>1.0</v>
      </c>
    </row>
    <row r="750">
      <c r="A750" s="4" t="s">
        <v>238</v>
      </c>
      <c r="B750" s="4" t="s">
        <v>908</v>
      </c>
      <c r="C750" s="4" t="s">
        <v>911</v>
      </c>
      <c r="F750" s="4">
        <v>1.0</v>
      </c>
      <c r="I750" s="4">
        <v>1.0</v>
      </c>
      <c r="M750" s="4">
        <v>1.0</v>
      </c>
    </row>
    <row r="751">
      <c r="A751" s="4" t="s">
        <v>238</v>
      </c>
      <c r="B751" s="4" t="s">
        <v>908</v>
      </c>
      <c r="C751" s="4" t="s">
        <v>912</v>
      </c>
    </row>
    <row r="752">
      <c r="A752" s="4" t="s">
        <v>238</v>
      </c>
      <c r="B752" s="4" t="s">
        <v>908</v>
      </c>
      <c r="C752" s="4" t="s">
        <v>913</v>
      </c>
    </row>
    <row r="753">
      <c r="A753" s="4" t="s">
        <v>238</v>
      </c>
      <c r="B753" s="4" t="s">
        <v>914</v>
      </c>
      <c r="C753" s="4" t="s">
        <v>915</v>
      </c>
    </row>
    <row r="754">
      <c r="A754" s="4" t="s">
        <v>238</v>
      </c>
      <c r="B754" s="4" t="s">
        <v>914</v>
      </c>
      <c r="C754" s="4" t="s">
        <v>916</v>
      </c>
    </row>
    <row r="755">
      <c r="A755" s="4" t="s">
        <v>238</v>
      </c>
      <c r="B755" s="4" t="s">
        <v>914</v>
      </c>
      <c r="C755" s="4" t="s">
        <v>917</v>
      </c>
    </row>
    <row r="756">
      <c r="A756" s="4" t="s">
        <v>238</v>
      </c>
      <c r="B756" s="4" t="s">
        <v>914</v>
      </c>
      <c r="C756" s="4" t="s">
        <v>918</v>
      </c>
    </row>
    <row r="757">
      <c r="A757" s="4" t="s">
        <v>238</v>
      </c>
      <c r="B757" s="4" t="s">
        <v>914</v>
      </c>
      <c r="C757" s="4" t="s">
        <v>919</v>
      </c>
    </row>
    <row r="758">
      <c r="A758" s="4" t="s">
        <v>238</v>
      </c>
      <c r="B758" s="4" t="s">
        <v>914</v>
      </c>
      <c r="C758" s="4" t="s">
        <v>920</v>
      </c>
    </row>
    <row r="759">
      <c r="A759" s="4" t="s">
        <v>238</v>
      </c>
      <c r="B759" s="4" t="s">
        <v>914</v>
      </c>
      <c r="C759" s="4" t="s">
        <v>921</v>
      </c>
    </row>
    <row r="760">
      <c r="A760" s="4" t="s">
        <v>238</v>
      </c>
      <c r="B760" s="4" t="s">
        <v>914</v>
      </c>
      <c r="C760" s="4" t="s">
        <v>922</v>
      </c>
    </row>
    <row r="761">
      <c r="A761" s="4" t="s">
        <v>238</v>
      </c>
      <c r="B761" s="4" t="s">
        <v>914</v>
      </c>
      <c r="C761" s="4" t="s">
        <v>923</v>
      </c>
    </row>
    <row r="762">
      <c r="A762" s="4" t="s">
        <v>238</v>
      </c>
      <c r="B762" s="4" t="s">
        <v>914</v>
      </c>
      <c r="C762" s="4" t="s">
        <v>924</v>
      </c>
    </row>
    <row r="763">
      <c r="A763" s="4" t="s">
        <v>238</v>
      </c>
      <c r="B763" s="4"/>
      <c r="C763" s="4" t="s">
        <v>925</v>
      </c>
    </row>
    <row r="764">
      <c r="A764" s="4" t="s">
        <v>238</v>
      </c>
      <c r="B764" s="4"/>
      <c r="C764" s="4" t="s">
        <v>926</v>
      </c>
    </row>
    <row r="765">
      <c r="A765" s="4" t="s">
        <v>238</v>
      </c>
      <c r="B765" s="4"/>
      <c r="C765" s="4" t="s">
        <v>927</v>
      </c>
    </row>
    <row r="766">
      <c r="A766" s="12" t="s">
        <v>238</v>
      </c>
      <c r="B766" s="4"/>
      <c r="C766" s="4" t="s">
        <v>928</v>
      </c>
    </row>
    <row r="767">
      <c r="A767" s="4" t="s">
        <v>238</v>
      </c>
      <c r="B767" s="4"/>
      <c r="C767" s="4" t="s">
        <v>929</v>
      </c>
    </row>
    <row r="768">
      <c r="A768" s="4" t="s">
        <v>238</v>
      </c>
      <c r="B768" s="4"/>
      <c r="C768" s="4" t="s">
        <v>930</v>
      </c>
    </row>
    <row r="769">
      <c r="A769" s="4" t="s">
        <v>238</v>
      </c>
      <c r="B769" s="4"/>
      <c r="C769" s="4" t="s">
        <v>931</v>
      </c>
    </row>
    <row r="770">
      <c r="A770" s="4" t="s">
        <v>238</v>
      </c>
      <c r="B770" s="4"/>
      <c r="C770" s="4" t="s">
        <v>932</v>
      </c>
    </row>
    <row r="771">
      <c r="A771" s="4" t="s">
        <v>238</v>
      </c>
      <c r="B771" s="4"/>
      <c r="C771" s="4" t="s">
        <v>933</v>
      </c>
    </row>
    <row r="772">
      <c r="A772" s="4" t="s">
        <v>238</v>
      </c>
      <c r="B772" s="4"/>
      <c r="C772" s="4" t="s">
        <v>934</v>
      </c>
    </row>
    <row r="773">
      <c r="A773" s="4" t="s">
        <v>238</v>
      </c>
      <c r="B773" s="4"/>
      <c r="C773" s="4" t="s">
        <v>935</v>
      </c>
    </row>
    <row r="774">
      <c r="A774" s="4" t="s">
        <v>238</v>
      </c>
      <c r="B774" s="4"/>
      <c r="C774" s="4" t="s">
        <v>936</v>
      </c>
    </row>
    <row r="775">
      <c r="A775" s="4" t="s">
        <v>238</v>
      </c>
      <c r="B775" s="4"/>
      <c r="C775" s="4" t="s">
        <v>937</v>
      </c>
    </row>
    <row r="776">
      <c r="A776" s="4" t="s">
        <v>238</v>
      </c>
      <c r="B776" s="4"/>
      <c r="C776" s="4" t="s">
        <v>938</v>
      </c>
    </row>
    <row r="777">
      <c r="A777" s="4" t="s">
        <v>238</v>
      </c>
      <c r="B777" s="4"/>
      <c r="C777" s="4" t="s">
        <v>939</v>
      </c>
    </row>
    <row r="778">
      <c r="A778" s="4" t="s">
        <v>238</v>
      </c>
      <c r="B778" s="4"/>
      <c r="C778" s="4" t="s">
        <v>940</v>
      </c>
    </row>
    <row r="779">
      <c r="A779" s="4" t="s">
        <v>238</v>
      </c>
      <c r="B779" s="4"/>
      <c r="C779" s="4" t="s">
        <v>941</v>
      </c>
    </row>
    <row r="780">
      <c r="A780" s="4" t="s">
        <v>238</v>
      </c>
      <c r="B780" s="4"/>
      <c r="C780" s="4" t="s">
        <v>942</v>
      </c>
    </row>
    <row r="781">
      <c r="A781" s="4" t="s">
        <v>238</v>
      </c>
      <c r="B781" s="4"/>
      <c r="C781" s="4" t="s">
        <v>943</v>
      </c>
    </row>
    <row r="782">
      <c r="A782" s="4" t="s">
        <v>238</v>
      </c>
      <c r="B782" s="4" t="s">
        <v>579</v>
      </c>
      <c r="C782" s="4" t="s">
        <v>944</v>
      </c>
      <c r="D782" s="4">
        <v>2.0</v>
      </c>
      <c r="E782" s="4">
        <v>2.0</v>
      </c>
      <c r="S782" s="4">
        <v>2.0</v>
      </c>
      <c r="Z782" s="4">
        <v>1.0</v>
      </c>
      <c r="AJ782" s="4">
        <v>2.0</v>
      </c>
    </row>
    <row r="783">
      <c r="A783" s="4" t="s">
        <v>238</v>
      </c>
      <c r="B783" s="4"/>
      <c r="C783" s="4" t="s">
        <v>945</v>
      </c>
      <c r="D783" s="4"/>
    </row>
    <row r="784">
      <c r="A784" s="4" t="s">
        <v>238</v>
      </c>
      <c r="B784" s="4"/>
      <c r="C784" s="4" t="s">
        <v>946</v>
      </c>
    </row>
    <row r="785">
      <c r="A785" s="4" t="s">
        <v>238</v>
      </c>
      <c r="B785" s="4"/>
      <c r="C785" s="4" t="s">
        <v>947</v>
      </c>
    </row>
    <row r="786">
      <c r="A786" s="4" t="s">
        <v>238</v>
      </c>
      <c r="B786" s="4"/>
      <c r="C786" s="4" t="s">
        <v>948</v>
      </c>
    </row>
    <row r="787">
      <c r="A787" s="4" t="s">
        <v>238</v>
      </c>
      <c r="B787" s="4"/>
      <c r="C787" s="4" t="s">
        <v>949</v>
      </c>
    </row>
    <row r="788">
      <c r="A788" s="4" t="s">
        <v>238</v>
      </c>
      <c r="B788" s="4"/>
      <c r="C788" s="4" t="s">
        <v>950</v>
      </c>
    </row>
    <row r="789">
      <c r="A789" s="4" t="s">
        <v>238</v>
      </c>
      <c r="B789" s="4"/>
      <c r="C789" s="4" t="s">
        <v>951</v>
      </c>
    </row>
    <row r="790">
      <c r="A790" s="4" t="s">
        <v>238</v>
      </c>
      <c r="B790" s="4"/>
      <c r="C790" s="4" t="s">
        <v>952</v>
      </c>
    </row>
    <row r="791">
      <c r="A791" s="4" t="s">
        <v>238</v>
      </c>
      <c r="B791" s="4"/>
      <c r="C791" s="4" t="s">
        <v>953</v>
      </c>
    </row>
    <row r="792">
      <c r="A792" s="4" t="s">
        <v>238</v>
      </c>
      <c r="B792" s="4"/>
      <c r="C792" s="4" t="s">
        <v>954</v>
      </c>
    </row>
    <row r="793">
      <c r="A793" s="4" t="s">
        <v>238</v>
      </c>
      <c r="B793" s="4"/>
      <c r="C793" s="4" t="s">
        <v>955</v>
      </c>
    </row>
    <row r="794">
      <c r="A794" s="4" t="s">
        <v>238</v>
      </c>
      <c r="B794" s="4"/>
      <c r="C794" s="4" t="s">
        <v>956</v>
      </c>
    </row>
    <row r="795">
      <c r="A795" s="4" t="s">
        <v>238</v>
      </c>
      <c r="B795" s="4"/>
      <c r="C795" s="4" t="s">
        <v>957</v>
      </c>
    </row>
    <row r="796">
      <c r="A796" s="4" t="s">
        <v>238</v>
      </c>
      <c r="B796" s="4"/>
      <c r="C796" s="4" t="s">
        <v>958</v>
      </c>
    </row>
    <row r="797">
      <c r="A797" s="4" t="s">
        <v>238</v>
      </c>
      <c r="B797" s="4"/>
      <c r="C797" s="4" t="s">
        <v>959</v>
      </c>
    </row>
    <row r="798">
      <c r="A798" s="4" t="s">
        <v>238</v>
      </c>
      <c r="B798" s="4"/>
      <c r="C798" s="4" t="s">
        <v>960</v>
      </c>
    </row>
    <row r="799">
      <c r="A799" s="4" t="s">
        <v>238</v>
      </c>
      <c r="B799" s="4"/>
      <c r="C799" s="4" t="s">
        <v>961</v>
      </c>
    </row>
    <row r="800">
      <c r="A800" s="4" t="s">
        <v>238</v>
      </c>
      <c r="B800" s="4"/>
      <c r="C800" s="4" t="s">
        <v>962</v>
      </c>
    </row>
    <row r="801">
      <c r="A801" s="4" t="s">
        <v>238</v>
      </c>
      <c r="B801" s="4"/>
      <c r="C801" s="4" t="s">
        <v>963</v>
      </c>
    </row>
    <row r="802">
      <c r="A802" s="4" t="s">
        <v>238</v>
      </c>
      <c r="B802" s="4"/>
      <c r="C802" s="4" t="s">
        <v>964</v>
      </c>
    </row>
    <row r="803">
      <c r="A803" s="4" t="s">
        <v>238</v>
      </c>
      <c r="B803" s="4"/>
      <c r="C803" s="4" t="s">
        <v>965</v>
      </c>
    </row>
    <row r="804">
      <c r="A804" s="4" t="s">
        <v>238</v>
      </c>
      <c r="B804" s="4"/>
      <c r="C804" s="4" t="s">
        <v>966</v>
      </c>
    </row>
    <row r="805">
      <c r="A805" s="4" t="s">
        <v>238</v>
      </c>
      <c r="B805" s="4"/>
      <c r="C805" s="4" t="s">
        <v>967</v>
      </c>
    </row>
    <row r="806">
      <c r="A806" s="4" t="s">
        <v>238</v>
      </c>
      <c r="B806" s="4"/>
      <c r="C806" s="4" t="s">
        <v>968</v>
      </c>
    </row>
    <row r="807">
      <c r="A807" s="4" t="s">
        <v>238</v>
      </c>
      <c r="B807" s="4"/>
      <c r="C807" s="4" t="s">
        <v>969</v>
      </c>
    </row>
    <row r="808">
      <c r="A808" s="4" t="s">
        <v>238</v>
      </c>
      <c r="B808" s="4"/>
      <c r="C808" s="4" t="s">
        <v>970</v>
      </c>
    </row>
    <row r="809">
      <c r="A809" s="4" t="s">
        <v>238</v>
      </c>
      <c r="B809" s="4"/>
      <c r="C809" s="4" t="s">
        <v>971</v>
      </c>
    </row>
    <row r="810">
      <c r="A810" s="4" t="s">
        <v>238</v>
      </c>
      <c r="B810" s="4"/>
      <c r="C810" s="4" t="s">
        <v>972</v>
      </c>
    </row>
    <row r="811">
      <c r="A811" s="4" t="s">
        <v>238</v>
      </c>
      <c r="B811" s="4"/>
      <c r="C811" s="4" t="s">
        <v>973</v>
      </c>
    </row>
    <row r="812">
      <c r="A812" s="4" t="s">
        <v>238</v>
      </c>
      <c r="B812" s="4"/>
      <c r="C812" s="4" t="s">
        <v>974</v>
      </c>
    </row>
    <row r="813">
      <c r="A813" s="4" t="s">
        <v>238</v>
      </c>
      <c r="B813" s="4"/>
      <c r="C813" s="4" t="s">
        <v>975</v>
      </c>
    </row>
    <row r="814">
      <c r="A814" s="4" t="s">
        <v>238</v>
      </c>
      <c r="B814" s="4"/>
      <c r="C814" s="4" t="s">
        <v>976</v>
      </c>
    </row>
    <row r="815">
      <c r="A815" s="4" t="s">
        <v>238</v>
      </c>
      <c r="B815" s="4"/>
      <c r="C815" s="4" t="s">
        <v>977</v>
      </c>
    </row>
    <row r="816">
      <c r="A816" s="4" t="s">
        <v>238</v>
      </c>
      <c r="B816" s="4"/>
      <c r="C816" s="4" t="s">
        <v>978</v>
      </c>
    </row>
    <row r="817">
      <c r="A817" s="4" t="s">
        <v>238</v>
      </c>
      <c r="B817" s="4"/>
      <c r="C817" s="4" t="s">
        <v>979</v>
      </c>
    </row>
    <row r="818">
      <c r="A818" s="4" t="s">
        <v>238</v>
      </c>
      <c r="B818" s="4"/>
      <c r="C818" s="4" t="s">
        <v>980</v>
      </c>
    </row>
    <row r="819">
      <c r="A819" s="4" t="s">
        <v>238</v>
      </c>
      <c r="B819" s="4"/>
      <c r="C819" s="4" t="s">
        <v>981</v>
      </c>
    </row>
    <row r="820">
      <c r="A820" s="4" t="s">
        <v>982</v>
      </c>
      <c r="B820" s="4"/>
      <c r="C820" s="4" t="s">
        <v>983</v>
      </c>
    </row>
    <row r="821">
      <c r="A821" s="4" t="s">
        <v>984</v>
      </c>
      <c r="B821" s="4" t="s">
        <v>985</v>
      </c>
      <c r="C821" s="4" t="s">
        <v>986</v>
      </c>
    </row>
    <row r="822">
      <c r="A822" s="4" t="s">
        <v>987</v>
      </c>
      <c r="B822" s="4" t="s">
        <v>988</v>
      </c>
      <c r="C822" s="4" t="s">
        <v>989</v>
      </c>
    </row>
    <row r="823">
      <c r="A823" s="4" t="s">
        <v>987</v>
      </c>
      <c r="B823" s="4" t="s">
        <v>990</v>
      </c>
      <c r="C823" s="4" t="s">
        <v>991</v>
      </c>
      <c r="Y823" s="4">
        <v>1.0</v>
      </c>
    </row>
    <row r="824">
      <c r="A824" s="4" t="s">
        <v>987</v>
      </c>
      <c r="B824" s="4" t="s">
        <v>992</v>
      </c>
      <c r="C824" s="4" t="s">
        <v>993</v>
      </c>
      <c r="Y824" s="4">
        <v>1.0</v>
      </c>
    </row>
    <row r="825">
      <c r="A825" s="4" t="s">
        <v>987</v>
      </c>
      <c r="B825" s="4"/>
      <c r="C825" s="4" t="s">
        <v>994</v>
      </c>
    </row>
    <row r="826">
      <c r="A826" s="4" t="s">
        <v>987</v>
      </c>
      <c r="B826" s="4"/>
      <c r="C826" s="4" t="s">
        <v>995</v>
      </c>
    </row>
    <row r="827">
      <c r="A827" s="4" t="s">
        <v>987</v>
      </c>
      <c r="B827" s="4"/>
      <c r="C827" s="4" t="s">
        <v>996</v>
      </c>
    </row>
    <row r="828">
      <c r="A828" s="4" t="s">
        <v>987</v>
      </c>
      <c r="B828" s="4"/>
      <c r="C828" s="4" t="s">
        <v>997</v>
      </c>
    </row>
    <row r="829">
      <c r="A829" s="4" t="s">
        <v>987</v>
      </c>
      <c r="B829" s="4"/>
      <c r="C829" s="4" t="s">
        <v>998</v>
      </c>
    </row>
    <row r="830">
      <c r="A830" s="4" t="s">
        <v>987</v>
      </c>
      <c r="B830" s="4"/>
      <c r="C830" s="4" t="s">
        <v>999</v>
      </c>
    </row>
    <row r="831">
      <c r="A831" s="4" t="s">
        <v>987</v>
      </c>
      <c r="B831" s="4"/>
      <c r="C831" s="4" t="s">
        <v>1000</v>
      </c>
    </row>
    <row r="832">
      <c r="A832" s="4" t="s">
        <v>987</v>
      </c>
      <c r="B832" s="4"/>
      <c r="C832" s="4" t="s">
        <v>1001</v>
      </c>
    </row>
    <row r="833">
      <c r="A833" s="4" t="s">
        <v>987</v>
      </c>
      <c r="B833" s="4"/>
      <c r="C833" s="4" t="s">
        <v>1002</v>
      </c>
    </row>
    <row r="834">
      <c r="A834" s="4" t="s">
        <v>987</v>
      </c>
      <c r="B834" s="4"/>
      <c r="C834" s="4" t="s">
        <v>1003</v>
      </c>
    </row>
    <row r="835">
      <c r="A835" s="4" t="s">
        <v>1004</v>
      </c>
      <c r="B835" s="4" t="s">
        <v>1005</v>
      </c>
      <c r="C835" s="4" t="s">
        <v>1006</v>
      </c>
    </row>
    <row r="836">
      <c r="A836" s="4" t="s">
        <v>1004</v>
      </c>
      <c r="B836" s="4" t="s">
        <v>1005</v>
      </c>
      <c r="C836" s="4" t="s">
        <v>1007</v>
      </c>
    </row>
    <row r="837">
      <c r="A837" s="4" t="s">
        <v>1004</v>
      </c>
      <c r="B837" s="4" t="s">
        <v>1005</v>
      </c>
      <c r="C837" s="4" t="s">
        <v>1008</v>
      </c>
    </row>
    <row r="838">
      <c r="A838" s="4" t="s">
        <v>1004</v>
      </c>
      <c r="B838" s="4" t="s">
        <v>1005</v>
      </c>
      <c r="C838" s="4" t="s">
        <v>1009</v>
      </c>
    </row>
    <row r="839">
      <c r="A839" s="4" t="s">
        <v>1004</v>
      </c>
      <c r="B839" s="4" t="s">
        <v>1005</v>
      </c>
      <c r="C839" s="4" t="s">
        <v>1010</v>
      </c>
    </row>
    <row r="840">
      <c r="A840" s="4" t="s">
        <v>1004</v>
      </c>
      <c r="B840" s="4" t="s">
        <v>1011</v>
      </c>
      <c r="C840" s="4" t="s">
        <v>1012</v>
      </c>
    </row>
    <row r="841">
      <c r="A841" s="4" t="s">
        <v>1004</v>
      </c>
      <c r="B841" s="4" t="s">
        <v>1011</v>
      </c>
      <c r="C841" s="4" t="s">
        <v>1013</v>
      </c>
    </row>
    <row r="842">
      <c r="A842" s="4" t="s">
        <v>1004</v>
      </c>
      <c r="B842" s="4" t="s">
        <v>1014</v>
      </c>
      <c r="C842" s="4" t="s">
        <v>1015</v>
      </c>
    </row>
    <row r="843">
      <c r="A843" s="4" t="s">
        <v>1004</v>
      </c>
      <c r="B843" s="4" t="s">
        <v>1014</v>
      </c>
      <c r="C843" s="4" t="s">
        <v>1016</v>
      </c>
    </row>
    <row r="844">
      <c r="A844" s="4" t="s">
        <v>1004</v>
      </c>
      <c r="B844" s="4" t="s">
        <v>1014</v>
      </c>
      <c r="C844" s="4" t="s">
        <v>1017</v>
      </c>
    </row>
    <row r="845">
      <c r="A845" s="4" t="s">
        <v>1004</v>
      </c>
      <c r="B845" s="4" t="s">
        <v>1014</v>
      </c>
      <c r="C845" s="4" t="s">
        <v>1018</v>
      </c>
    </row>
    <row r="846">
      <c r="A846" s="4" t="s">
        <v>1004</v>
      </c>
      <c r="B846" s="4" t="s">
        <v>1014</v>
      </c>
      <c r="C846" s="4" t="s">
        <v>1019</v>
      </c>
    </row>
    <row r="847">
      <c r="A847" s="4" t="s">
        <v>1004</v>
      </c>
      <c r="B847" s="4"/>
      <c r="C847" s="4" t="s">
        <v>1020</v>
      </c>
    </row>
    <row r="848">
      <c r="A848" s="4" t="s">
        <v>1021</v>
      </c>
      <c r="B848" s="4" t="s">
        <v>1022</v>
      </c>
      <c r="C848" s="4" t="s">
        <v>1023</v>
      </c>
    </row>
    <row r="849">
      <c r="A849" s="4" t="s">
        <v>1021</v>
      </c>
      <c r="B849" s="4" t="s">
        <v>1024</v>
      </c>
      <c r="C849" s="4" t="s">
        <v>1025</v>
      </c>
    </row>
    <row r="850">
      <c r="A850" s="4" t="s">
        <v>1021</v>
      </c>
      <c r="B850" s="4" t="s">
        <v>1024</v>
      </c>
      <c r="C850" s="4" t="s">
        <v>1026</v>
      </c>
    </row>
    <row r="851">
      <c r="A851" s="4" t="s">
        <v>1021</v>
      </c>
      <c r="B851" s="4" t="s">
        <v>1024</v>
      </c>
      <c r="C851" s="4" t="s">
        <v>1027</v>
      </c>
    </row>
    <row r="852">
      <c r="A852" s="4" t="s">
        <v>1021</v>
      </c>
      <c r="B852" s="4" t="s">
        <v>1024</v>
      </c>
      <c r="C852" s="4" t="s">
        <v>1028</v>
      </c>
    </row>
    <row r="853">
      <c r="A853" s="4" t="s">
        <v>1021</v>
      </c>
      <c r="B853" s="4" t="s">
        <v>1024</v>
      </c>
      <c r="C853" s="4" t="s">
        <v>1029</v>
      </c>
    </row>
    <row r="854">
      <c r="A854" s="4" t="s">
        <v>1021</v>
      </c>
      <c r="B854" s="4" t="s">
        <v>1024</v>
      </c>
      <c r="C854" s="4" t="s">
        <v>1030</v>
      </c>
    </row>
    <row r="855">
      <c r="A855" s="4" t="s">
        <v>1021</v>
      </c>
      <c r="B855" s="4" t="s">
        <v>1024</v>
      </c>
      <c r="C855" s="4" t="s">
        <v>1031</v>
      </c>
    </row>
    <row r="856">
      <c r="A856" s="4" t="s">
        <v>1021</v>
      </c>
      <c r="B856" s="4" t="s">
        <v>1024</v>
      </c>
      <c r="C856" s="4" t="s">
        <v>1032</v>
      </c>
    </row>
    <row r="857">
      <c r="A857" s="4" t="s">
        <v>1021</v>
      </c>
      <c r="B857" s="4" t="s">
        <v>1024</v>
      </c>
      <c r="C857" s="4" t="s">
        <v>1033</v>
      </c>
    </row>
    <row r="858">
      <c r="A858" s="4" t="s">
        <v>1021</v>
      </c>
      <c r="B858" s="4" t="s">
        <v>1024</v>
      </c>
      <c r="C858" s="4" t="s">
        <v>1034</v>
      </c>
    </row>
    <row r="859">
      <c r="A859" s="4" t="s">
        <v>1021</v>
      </c>
      <c r="B859" s="4" t="s">
        <v>1024</v>
      </c>
      <c r="C859" s="4" t="s">
        <v>1035</v>
      </c>
    </row>
    <row r="860">
      <c r="A860" s="4" t="s">
        <v>1021</v>
      </c>
      <c r="B860" s="4" t="s">
        <v>1024</v>
      </c>
      <c r="C860" s="4" t="s">
        <v>1036</v>
      </c>
    </row>
    <row r="861">
      <c r="A861" s="4" t="s">
        <v>1021</v>
      </c>
      <c r="B861" s="4" t="s">
        <v>1024</v>
      </c>
      <c r="C861" s="4" t="s">
        <v>1037</v>
      </c>
      <c r="F861" s="4">
        <v>1.0</v>
      </c>
    </row>
    <row r="862">
      <c r="A862" s="4" t="s">
        <v>1021</v>
      </c>
      <c r="B862" s="4" t="s">
        <v>1024</v>
      </c>
      <c r="C862" s="4" t="s">
        <v>1038</v>
      </c>
    </row>
    <row r="863">
      <c r="A863" s="4" t="s">
        <v>1021</v>
      </c>
      <c r="B863" s="4" t="s">
        <v>1024</v>
      </c>
      <c r="C863" s="4" t="s">
        <v>1039</v>
      </c>
    </row>
    <row r="864">
      <c r="A864" s="4" t="s">
        <v>1021</v>
      </c>
      <c r="B864" s="4"/>
      <c r="C864" s="4" t="s">
        <v>1040</v>
      </c>
    </row>
    <row r="865">
      <c r="A865" s="4" t="s">
        <v>1021</v>
      </c>
      <c r="B865" s="4"/>
      <c r="C865" s="4" t="s">
        <v>1041</v>
      </c>
    </row>
    <row r="866">
      <c r="A866" s="4" t="s">
        <v>1021</v>
      </c>
      <c r="B866" s="4"/>
      <c r="C866" s="4" t="s">
        <v>1042</v>
      </c>
    </row>
    <row r="867">
      <c r="A867" s="4" t="s">
        <v>1021</v>
      </c>
      <c r="B867" s="4"/>
      <c r="C867" s="4" t="s">
        <v>1043</v>
      </c>
    </row>
    <row r="868">
      <c r="A868" s="4" t="s">
        <v>1021</v>
      </c>
      <c r="B868" s="4"/>
      <c r="C868" s="4" t="s">
        <v>1044</v>
      </c>
    </row>
    <row r="869">
      <c r="A869" s="4" t="s">
        <v>1021</v>
      </c>
      <c r="B869" s="4"/>
      <c r="C869" s="4" t="s">
        <v>1045</v>
      </c>
    </row>
    <row r="870">
      <c r="A870" s="4" t="s">
        <v>1021</v>
      </c>
      <c r="B870" s="4"/>
      <c r="C870" s="4" t="s">
        <v>1046</v>
      </c>
    </row>
    <row r="871">
      <c r="A871" s="4" t="s">
        <v>1021</v>
      </c>
      <c r="B871" s="4"/>
      <c r="C871" s="4" t="s">
        <v>1047</v>
      </c>
    </row>
    <row r="872">
      <c r="A872" s="4" t="s">
        <v>1021</v>
      </c>
      <c r="B872" s="4"/>
      <c r="C872" s="4" t="s">
        <v>1048</v>
      </c>
    </row>
    <row r="873">
      <c r="A873" s="4" t="s">
        <v>1049</v>
      </c>
      <c r="B873" s="4"/>
      <c r="C873" s="4" t="s">
        <v>1050</v>
      </c>
    </row>
    <row r="874">
      <c r="A874" s="4" t="s">
        <v>1049</v>
      </c>
      <c r="B874" s="4"/>
      <c r="C874" s="4" t="s">
        <v>1051</v>
      </c>
    </row>
    <row r="875">
      <c r="A875" s="4" t="s">
        <v>1052</v>
      </c>
      <c r="B875" s="4"/>
      <c r="C875" s="4" t="s">
        <v>1053</v>
      </c>
    </row>
    <row r="876">
      <c r="A876" s="4" t="s">
        <v>1054</v>
      </c>
      <c r="B876" s="4"/>
      <c r="C876" s="4" t="s">
        <v>1055</v>
      </c>
    </row>
    <row r="877">
      <c r="A877" s="4" t="s">
        <v>1056</v>
      </c>
      <c r="B877" s="4"/>
      <c r="C877" s="4" t="s">
        <v>1057</v>
      </c>
    </row>
    <row r="878">
      <c r="A878" s="4" t="s">
        <v>1056</v>
      </c>
      <c r="B878" s="4"/>
      <c r="C878" s="4" t="s">
        <v>1058</v>
      </c>
    </row>
    <row r="879">
      <c r="A879" s="4" t="s">
        <v>1059</v>
      </c>
      <c r="B879" s="4" t="s">
        <v>1060</v>
      </c>
      <c r="C879" s="4" t="s">
        <v>1061</v>
      </c>
    </row>
    <row r="880">
      <c r="A880" s="4" t="s">
        <v>1062</v>
      </c>
      <c r="B880" s="4"/>
      <c r="C880" s="4" t="s">
        <v>1063</v>
      </c>
    </row>
    <row r="881">
      <c r="A881" s="4" t="s">
        <v>1062</v>
      </c>
      <c r="B881" s="4"/>
      <c r="C881" s="4" t="s">
        <v>1064</v>
      </c>
    </row>
    <row r="882">
      <c r="A882" s="4" t="s">
        <v>1065</v>
      </c>
      <c r="B882" s="4"/>
      <c r="C882" s="4" t="s">
        <v>1066</v>
      </c>
    </row>
    <row r="883">
      <c r="A883" s="4" t="s">
        <v>1065</v>
      </c>
      <c r="B883" s="14"/>
      <c r="C883" s="14" t="s">
        <v>1067</v>
      </c>
    </row>
    <row r="884">
      <c r="A884" s="4" t="s">
        <v>1065</v>
      </c>
      <c r="B884" s="4"/>
      <c r="C884" s="4" t="s">
        <v>1068</v>
      </c>
    </row>
    <row r="885">
      <c r="A885" s="4" t="s">
        <v>1065</v>
      </c>
      <c r="B885" s="4"/>
      <c r="C885" s="4" t="s">
        <v>1069</v>
      </c>
    </row>
    <row r="886">
      <c r="A886" s="4" t="s">
        <v>1065</v>
      </c>
      <c r="B886" s="4"/>
      <c r="C886" s="4" t="s">
        <v>1070</v>
      </c>
    </row>
    <row r="887">
      <c r="A887" s="4" t="s">
        <v>1065</v>
      </c>
      <c r="B887" s="4"/>
      <c r="C887" s="4" t="s">
        <v>1071</v>
      </c>
    </row>
    <row r="888">
      <c r="A888" s="4" t="s">
        <v>1072</v>
      </c>
      <c r="B888" s="4"/>
      <c r="C888" s="4" t="s">
        <v>1073</v>
      </c>
    </row>
    <row r="889">
      <c r="A889" s="4" t="s">
        <v>1072</v>
      </c>
      <c r="B889" s="4"/>
      <c r="C889" s="4" t="s">
        <v>1074</v>
      </c>
    </row>
    <row r="890">
      <c r="A890" s="4" t="s">
        <v>1075</v>
      </c>
      <c r="B890" s="4"/>
      <c r="C890" s="4" t="s">
        <v>1076</v>
      </c>
    </row>
    <row r="891">
      <c r="A891" s="4" t="s">
        <v>1075</v>
      </c>
      <c r="B891" s="4"/>
      <c r="C891" s="4" t="s">
        <v>1077</v>
      </c>
    </row>
    <row r="892">
      <c r="A892" s="4" t="s">
        <v>1075</v>
      </c>
      <c r="B892" s="4"/>
      <c r="C892" s="4" t="s">
        <v>1078</v>
      </c>
    </row>
    <row r="893">
      <c r="A893" s="4" t="s">
        <v>1075</v>
      </c>
      <c r="B893" s="4"/>
      <c r="C893" s="4" t="s">
        <v>1079</v>
      </c>
    </row>
    <row r="894">
      <c r="A894" s="4" t="s">
        <v>1080</v>
      </c>
      <c r="B894" s="4" t="s">
        <v>1081</v>
      </c>
      <c r="C894" s="4" t="s">
        <v>1082</v>
      </c>
      <c r="M894" s="4">
        <v>1.0</v>
      </c>
    </row>
    <row r="895">
      <c r="A895" s="4" t="s">
        <v>1080</v>
      </c>
      <c r="B895" s="4" t="s">
        <v>1081</v>
      </c>
      <c r="C895" s="4" t="s">
        <v>1083</v>
      </c>
      <c r="M895" s="4">
        <v>1.0</v>
      </c>
    </row>
    <row r="896">
      <c r="A896" s="4" t="s">
        <v>1080</v>
      </c>
      <c r="B896" s="4" t="s">
        <v>1084</v>
      </c>
      <c r="C896" s="4" t="s">
        <v>1085</v>
      </c>
      <c r="M896" s="4">
        <v>1.0</v>
      </c>
    </row>
    <row r="897">
      <c r="A897" s="4" t="s">
        <v>1080</v>
      </c>
      <c r="B897" s="4" t="s">
        <v>1084</v>
      </c>
      <c r="C897" s="4" t="s">
        <v>1086</v>
      </c>
      <c r="M897" s="4">
        <v>3.0</v>
      </c>
    </row>
    <row r="898">
      <c r="A898" s="4" t="s">
        <v>1080</v>
      </c>
      <c r="B898" s="4" t="s">
        <v>1087</v>
      </c>
      <c r="C898" s="4" t="s">
        <v>1088</v>
      </c>
      <c r="M898" s="4">
        <v>1.0</v>
      </c>
    </row>
    <row r="899">
      <c r="A899" s="4" t="s">
        <v>1080</v>
      </c>
      <c r="B899" s="4" t="s">
        <v>1087</v>
      </c>
      <c r="C899" s="4" t="s">
        <v>1089</v>
      </c>
      <c r="M899" s="4">
        <v>1.0</v>
      </c>
    </row>
    <row r="900">
      <c r="A900" s="4" t="s">
        <v>1080</v>
      </c>
      <c r="B900" s="4" t="s">
        <v>1090</v>
      </c>
      <c r="C900" s="4" t="s">
        <v>1091</v>
      </c>
      <c r="M900" s="4">
        <v>1.0</v>
      </c>
    </row>
    <row r="901">
      <c r="A901" s="4" t="s">
        <v>1080</v>
      </c>
      <c r="B901" s="4"/>
      <c r="C901" s="4" t="s">
        <v>1092</v>
      </c>
    </row>
    <row r="902">
      <c r="A902" s="4" t="s">
        <v>1080</v>
      </c>
      <c r="B902" s="4"/>
      <c r="C902" s="4" t="s">
        <v>1093</v>
      </c>
    </row>
    <row r="903">
      <c r="A903" s="4" t="s">
        <v>1080</v>
      </c>
      <c r="B903" s="4"/>
      <c r="C903" s="4" t="s">
        <v>1094</v>
      </c>
    </row>
    <row r="904">
      <c r="A904" s="4" t="s">
        <v>1080</v>
      </c>
      <c r="B904" s="4"/>
      <c r="C904" s="4" t="s">
        <v>1095</v>
      </c>
    </row>
    <row r="905">
      <c r="A905" s="4" t="s">
        <v>1080</v>
      </c>
      <c r="B905" s="4"/>
      <c r="C905" s="4" t="s">
        <v>1096</v>
      </c>
    </row>
    <row r="906">
      <c r="A906" s="4" t="s">
        <v>1080</v>
      </c>
      <c r="B906" s="4"/>
      <c r="C906" s="4" t="s">
        <v>1097</v>
      </c>
    </row>
    <row r="907">
      <c r="A907" s="4" t="s">
        <v>1080</v>
      </c>
      <c r="B907" s="4"/>
      <c r="C907" s="4" t="s">
        <v>1098</v>
      </c>
    </row>
    <row r="908">
      <c r="A908" s="4" t="s">
        <v>1080</v>
      </c>
      <c r="B908" s="4"/>
      <c r="C908" s="4" t="s">
        <v>1099</v>
      </c>
    </row>
    <row r="909">
      <c r="A909" s="4" t="s">
        <v>1080</v>
      </c>
      <c r="B909" s="4"/>
      <c r="C909" s="4" t="s">
        <v>1100</v>
      </c>
    </row>
    <row r="910">
      <c r="A910" s="4" t="s">
        <v>1080</v>
      </c>
      <c r="B910" s="4"/>
      <c r="C910" s="4" t="s">
        <v>1101</v>
      </c>
    </row>
    <row r="911">
      <c r="A911" s="4" t="s">
        <v>1080</v>
      </c>
      <c r="B911" s="4"/>
      <c r="C911" s="4" t="s">
        <v>1102</v>
      </c>
    </row>
    <row r="912">
      <c r="A912" s="4" t="s">
        <v>1080</v>
      </c>
      <c r="B912" s="4"/>
      <c r="C912" s="4" t="s">
        <v>1103</v>
      </c>
    </row>
    <row r="913">
      <c r="A913" s="4" t="s">
        <v>1080</v>
      </c>
      <c r="B913" s="4"/>
      <c r="C913" s="4" t="s">
        <v>1104</v>
      </c>
    </row>
    <row r="914">
      <c r="A914" s="4" t="s">
        <v>1080</v>
      </c>
      <c r="B914" s="4"/>
      <c r="C914" s="4" t="s">
        <v>1105</v>
      </c>
    </row>
    <row r="915">
      <c r="A915" s="4" t="s">
        <v>1080</v>
      </c>
      <c r="B915" s="4"/>
      <c r="C915" s="4" t="s">
        <v>1106</v>
      </c>
    </row>
    <row r="916">
      <c r="A916" s="4" t="s">
        <v>1080</v>
      </c>
      <c r="B916" s="4"/>
      <c r="C916" s="4" t="s">
        <v>1107</v>
      </c>
    </row>
    <row r="917">
      <c r="A917" s="4" t="s">
        <v>1080</v>
      </c>
      <c r="B917" s="4"/>
      <c r="C917" s="4" t="s">
        <v>1108</v>
      </c>
    </row>
    <row r="918">
      <c r="A918" s="4" t="s">
        <v>1080</v>
      </c>
      <c r="B918" s="4"/>
      <c r="C918" s="4" t="s">
        <v>1109</v>
      </c>
    </row>
    <row r="919">
      <c r="A919" s="4" t="s">
        <v>1080</v>
      </c>
      <c r="B919" s="4"/>
      <c r="C919" s="4" t="s">
        <v>1110</v>
      </c>
    </row>
    <row r="920">
      <c r="A920" s="4" t="s">
        <v>1080</v>
      </c>
      <c r="B920" s="4"/>
      <c r="C920" s="4" t="s">
        <v>1111</v>
      </c>
    </row>
    <row r="921">
      <c r="A921" s="4" t="s">
        <v>1080</v>
      </c>
      <c r="B921" s="4"/>
      <c r="C921" s="4" t="s">
        <v>1112</v>
      </c>
    </row>
    <row r="922">
      <c r="A922" s="4" t="s">
        <v>1080</v>
      </c>
      <c r="B922" s="4"/>
      <c r="C922" s="4" t="s">
        <v>1113</v>
      </c>
    </row>
    <row r="923">
      <c r="A923" s="4" t="s">
        <v>1080</v>
      </c>
      <c r="B923" s="4"/>
      <c r="C923" s="4" t="s">
        <v>1114</v>
      </c>
    </row>
    <row r="924">
      <c r="A924" s="4" t="s">
        <v>1080</v>
      </c>
      <c r="B924" s="4"/>
      <c r="C924" s="4" t="s">
        <v>1115</v>
      </c>
    </row>
    <row r="925">
      <c r="A925" s="4" t="s">
        <v>1080</v>
      </c>
      <c r="B925" s="4"/>
      <c r="C925" s="4" t="s">
        <v>1116</v>
      </c>
    </row>
    <row r="926">
      <c r="A926" s="4" t="s">
        <v>1080</v>
      </c>
      <c r="B926" s="4"/>
      <c r="C926" s="4" t="s">
        <v>1117</v>
      </c>
    </row>
    <row r="927">
      <c r="A927" s="4" t="s">
        <v>1080</v>
      </c>
      <c r="B927" s="4"/>
      <c r="C927" s="4" t="s">
        <v>1118</v>
      </c>
    </row>
    <row r="928">
      <c r="A928" s="4" t="s">
        <v>1080</v>
      </c>
      <c r="B928" s="4"/>
      <c r="C928" s="4" t="s">
        <v>1119</v>
      </c>
    </row>
    <row r="929">
      <c r="A929" s="4" t="s">
        <v>1080</v>
      </c>
      <c r="B929" s="4"/>
      <c r="C929" s="4" t="s">
        <v>1120</v>
      </c>
    </row>
    <row r="930">
      <c r="A930" s="4" t="s">
        <v>1080</v>
      </c>
      <c r="B930" s="4"/>
      <c r="C930" s="4" t="s">
        <v>1121</v>
      </c>
    </row>
    <row r="931">
      <c r="A931" s="4" t="s">
        <v>1080</v>
      </c>
      <c r="B931" s="4"/>
      <c r="C931" s="4" t="s">
        <v>1122</v>
      </c>
    </row>
    <row r="932">
      <c r="A932" s="4" t="s">
        <v>1080</v>
      </c>
      <c r="B932" s="4"/>
      <c r="C932" s="4" t="s">
        <v>1123</v>
      </c>
    </row>
    <row r="933">
      <c r="A933" s="4" t="s">
        <v>1080</v>
      </c>
      <c r="B933" s="4"/>
      <c r="C933" s="4" t="s">
        <v>1124</v>
      </c>
    </row>
    <row r="934">
      <c r="A934" s="4" t="s">
        <v>1080</v>
      </c>
      <c r="B934" s="4"/>
      <c r="C934" s="4" t="s">
        <v>1125</v>
      </c>
    </row>
    <row r="935">
      <c r="A935" s="4" t="s">
        <v>1080</v>
      </c>
      <c r="B935" s="4"/>
      <c r="C935" s="4" t="s">
        <v>1126</v>
      </c>
    </row>
    <row r="936">
      <c r="A936" s="4" t="s">
        <v>1080</v>
      </c>
      <c r="B936" s="4"/>
      <c r="C936" s="4" t="s">
        <v>1127</v>
      </c>
    </row>
    <row r="937">
      <c r="A937" s="4" t="s">
        <v>1080</v>
      </c>
      <c r="B937" s="4"/>
      <c r="C937" s="4" t="s">
        <v>1128</v>
      </c>
    </row>
    <row r="938">
      <c r="A938" s="4" t="s">
        <v>1080</v>
      </c>
      <c r="B938" s="4"/>
      <c r="C938" s="4" t="s">
        <v>1129</v>
      </c>
    </row>
    <row r="939">
      <c r="A939" s="4" t="s">
        <v>1080</v>
      </c>
      <c r="B939" s="4"/>
      <c r="C939" s="4" t="s">
        <v>1130</v>
      </c>
    </row>
    <row r="940">
      <c r="A940" s="4" t="s">
        <v>1080</v>
      </c>
      <c r="B940" s="4"/>
      <c r="C940" s="4" t="s">
        <v>1131</v>
      </c>
    </row>
    <row r="941">
      <c r="A941" s="4" t="s">
        <v>1080</v>
      </c>
      <c r="B941" s="4"/>
      <c r="C941" s="4" t="s">
        <v>1132</v>
      </c>
    </row>
    <row r="942">
      <c r="A942" s="4" t="s">
        <v>1080</v>
      </c>
      <c r="B942" s="4"/>
      <c r="C942" s="4" t="s">
        <v>1133</v>
      </c>
    </row>
    <row r="943">
      <c r="A943" s="4" t="s">
        <v>1080</v>
      </c>
      <c r="B943" s="4"/>
      <c r="C943" s="4" t="s">
        <v>1134</v>
      </c>
    </row>
    <row r="944">
      <c r="A944" s="4" t="s">
        <v>1080</v>
      </c>
      <c r="B944" s="4"/>
      <c r="C944" s="4" t="s">
        <v>1135</v>
      </c>
    </row>
    <row r="945">
      <c r="A945" s="4" t="s">
        <v>1080</v>
      </c>
      <c r="B945" s="4"/>
      <c r="C945" s="4" t="s">
        <v>1136</v>
      </c>
    </row>
    <row r="946">
      <c r="A946" s="4" t="s">
        <v>1080</v>
      </c>
      <c r="B946" s="4"/>
      <c r="C946" s="4" t="s">
        <v>1137</v>
      </c>
    </row>
    <row r="947">
      <c r="A947" s="4" t="s">
        <v>1080</v>
      </c>
      <c r="B947" s="4"/>
      <c r="C947" s="4" t="s">
        <v>1138</v>
      </c>
    </row>
    <row r="948">
      <c r="A948" s="4" t="s">
        <v>1080</v>
      </c>
      <c r="B948" s="4"/>
      <c r="C948" s="4" t="s">
        <v>1139</v>
      </c>
    </row>
    <row r="949">
      <c r="A949" s="4" t="s">
        <v>1080</v>
      </c>
      <c r="B949" s="4"/>
      <c r="C949" s="4" t="s">
        <v>1140</v>
      </c>
    </row>
    <row r="950">
      <c r="A950" s="4" t="s">
        <v>1080</v>
      </c>
      <c r="B950" s="4"/>
      <c r="C950" s="4" t="s">
        <v>1141</v>
      </c>
    </row>
    <row r="951">
      <c r="A951" s="4" t="s">
        <v>1080</v>
      </c>
      <c r="B951" s="4"/>
      <c r="C951" s="4" t="s">
        <v>1142</v>
      </c>
    </row>
    <row r="952">
      <c r="A952" s="4" t="s">
        <v>1080</v>
      </c>
      <c r="B952" s="4"/>
      <c r="C952" s="4" t="s">
        <v>1143</v>
      </c>
    </row>
    <row r="953">
      <c r="A953" s="4" t="s">
        <v>1080</v>
      </c>
      <c r="B953" s="4"/>
      <c r="C953" s="4" t="s">
        <v>1144</v>
      </c>
    </row>
    <row r="954">
      <c r="A954" s="4" t="s">
        <v>1080</v>
      </c>
      <c r="B954" s="4"/>
      <c r="C954" s="4" t="s">
        <v>1145</v>
      </c>
    </row>
    <row r="955">
      <c r="A955" s="4" t="s">
        <v>1080</v>
      </c>
      <c r="B955" s="4"/>
      <c r="C955" s="4" t="s">
        <v>1146</v>
      </c>
    </row>
    <row r="956">
      <c r="A956" s="4" t="s">
        <v>1080</v>
      </c>
      <c r="B956" s="4"/>
      <c r="C956" s="4" t="s">
        <v>1147</v>
      </c>
    </row>
    <row r="957">
      <c r="A957" s="4" t="s">
        <v>1080</v>
      </c>
      <c r="B957" s="4"/>
      <c r="C957" s="4" t="s">
        <v>1148</v>
      </c>
    </row>
    <row r="958">
      <c r="A958" s="4" t="s">
        <v>1080</v>
      </c>
      <c r="B958" s="4"/>
      <c r="C958" s="4" t="s">
        <v>1149</v>
      </c>
    </row>
    <row r="959">
      <c r="A959" s="4" t="s">
        <v>1080</v>
      </c>
      <c r="B959" s="4"/>
      <c r="C959" s="4" t="s">
        <v>1150</v>
      </c>
    </row>
    <row r="960">
      <c r="A960" s="4" t="s">
        <v>1080</v>
      </c>
      <c r="B960" s="4"/>
      <c r="C960" s="4" t="s">
        <v>1151</v>
      </c>
    </row>
    <row r="961">
      <c r="A961" s="4" t="s">
        <v>1080</v>
      </c>
      <c r="B961" s="4"/>
      <c r="C961" s="4" t="s">
        <v>1152</v>
      </c>
    </row>
    <row r="962">
      <c r="A962" s="4" t="s">
        <v>1080</v>
      </c>
      <c r="B962" s="4"/>
      <c r="C962" s="4" t="s">
        <v>1153</v>
      </c>
    </row>
    <row r="963">
      <c r="A963" s="4" t="s">
        <v>1080</v>
      </c>
      <c r="B963" s="4"/>
      <c r="C963" s="4" t="s">
        <v>1154</v>
      </c>
    </row>
    <row r="964">
      <c r="A964" s="4" t="s">
        <v>1080</v>
      </c>
      <c r="B964" s="4"/>
      <c r="C964" s="4" t="s">
        <v>1155</v>
      </c>
    </row>
    <row r="965">
      <c r="A965" s="4" t="s">
        <v>1080</v>
      </c>
      <c r="B965" s="4"/>
      <c r="C965" s="4" t="s">
        <v>1156</v>
      </c>
    </row>
    <row r="966">
      <c r="A966" s="4" t="s">
        <v>1080</v>
      </c>
      <c r="B966" s="4"/>
      <c r="C966" s="4" t="s">
        <v>1157</v>
      </c>
    </row>
    <row r="967">
      <c r="A967" s="4" t="s">
        <v>1080</v>
      </c>
      <c r="B967" s="4"/>
      <c r="C967" s="4" t="s">
        <v>1158</v>
      </c>
    </row>
    <row r="968">
      <c r="A968" s="4" t="s">
        <v>1080</v>
      </c>
      <c r="B968" s="4"/>
      <c r="C968" s="4" t="s">
        <v>1159</v>
      </c>
    </row>
    <row r="969">
      <c r="A969" s="4" t="s">
        <v>1080</v>
      </c>
      <c r="B969" s="4"/>
      <c r="C969" s="4" t="s">
        <v>1160</v>
      </c>
    </row>
    <row r="970">
      <c r="A970" s="4" t="s">
        <v>1080</v>
      </c>
      <c r="B970" s="4"/>
      <c r="C970" s="4" t="s">
        <v>1161</v>
      </c>
    </row>
    <row r="971">
      <c r="A971" s="4" t="s">
        <v>1080</v>
      </c>
      <c r="B971" s="4"/>
      <c r="C971" s="4" t="s">
        <v>1162</v>
      </c>
    </row>
    <row r="972">
      <c r="A972" s="4" t="s">
        <v>1080</v>
      </c>
      <c r="B972" s="4"/>
      <c r="C972" s="4" t="s">
        <v>1163</v>
      </c>
    </row>
    <row r="973">
      <c r="A973" s="4" t="s">
        <v>1080</v>
      </c>
      <c r="B973" s="4"/>
      <c r="C973" s="4" t="s">
        <v>1164</v>
      </c>
    </row>
    <row r="974">
      <c r="A974" s="4" t="s">
        <v>1080</v>
      </c>
      <c r="B974" s="4"/>
      <c r="C974" s="4" t="s">
        <v>1165</v>
      </c>
    </row>
    <row r="975">
      <c r="A975" s="4" t="s">
        <v>1080</v>
      </c>
      <c r="B975" s="4"/>
      <c r="C975" s="4" t="s">
        <v>1166</v>
      </c>
    </row>
    <row r="976">
      <c r="A976" s="4" t="s">
        <v>1080</v>
      </c>
      <c r="B976" s="4"/>
      <c r="C976" s="4" t="s">
        <v>1167</v>
      </c>
    </row>
    <row r="977">
      <c r="A977" s="4" t="s">
        <v>1080</v>
      </c>
      <c r="B977" s="4"/>
      <c r="C977" s="4" t="s">
        <v>1168</v>
      </c>
    </row>
    <row r="978">
      <c r="A978" s="4" t="s">
        <v>1080</v>
      </c>
      <c r="B978" s="4"/>
      <c r="C978" s="4" t="s">
        <v>1169</v>
      </c>
    </row>
    <row r="979">
      <c r="A979" s="4" t="s">
        <v>1080</v>
      </c>
      <c r="B979" s="4"/>
      <c r="C979" s="4" t="s">
        <v>1170</v>
      </c>
    </row>
    <row r="980">
      <c r="A980" s="4" t="s">
        <v>1080</v>
      </c>
      <c r="B980" s="4"/>
      <c r="C980" s="4" t="s">
        <v>1171</v>
      </c>
    </row>
    <row r="981">
      <c r="A981" s="4" t="s">
        <v>1080</v>
      </c>
      <c r="B981" s="4"/>
      <c r="C981" s="4" t="s">
        <v>1172</v>
      </c>
    </row>
    <row r="982">
      <c r="A982" s="4" t="s">
        <v>1080</v>
      </c>
      <c r="B982" s="4"/>
      <c r="C982" s="4" t="s">
        <v>1173</v>
      </c>
    </row>
    <row r="983">
      <c r="A983" s="4" t="s">
        <v>1080</v>
      </c>
      <c r="B983" s="4"/>
      <c r="C983" s="4" t="s">
        <v>1174</v>
      </c>
    </row>
    <row r="984">
      <c r="A984" s="4" t="s">
        <v>1080</v>
      </c>
      <c r="B984" s="4"/>
      <c r="C984" s="4" t="s">
        <v>1175</v>
      </c>
    </row>
    <row r="985">
      <c r="A985" s="4" t="s">
        <v>1080</v>
      </c>
      <c r="B985" s="4"/>
      <c r="C985" s="4" t="s">
        <v>1176</v>
      </c>
    </row>
    <row r="986">
      <c r="A986" s="4" t="s">
        <v>1080</v>
      </c>
      <c r="B986" s="4"/>
      <c r="C986" s="4" t="s">
        <v>1177</v>
      </c>
    </row>
    <row r="987">
      <c r="A987" s="4" t="s">
        <v>1080</v>
      </c>
      <c r="B987" s="4"/>
      <c r="C987" s="4" t="s">
        <v>1178</v>
      </c>
    </row>
    <row r="988">
      <c r="A988" s="4" t="s">
        <v>1080</v>
      </c>
      <c r="B988" s="4"/>
      <c r="C988" s="4" t="s">
        <v>1179</v>
      </c>
    </row>
    <row r="989">
      <c r="A989" s="4" t="s">
        <v>1080</v>
      </c>
      <c r="B989" s="4"/>
      <c r="C989" s="4" t="s">
        <v>1180</v>
      </c>
    </row>
    <row r="990">
      <c r="A990" s="4" t="s">
        <v>1080</v>
      </c>
      <c r="B990" s="4"/>
      <c r="C990" s="4" t="s">
        <v>1181</v>
      </c>
    </row>
    <row r="991">
      <c r="A991" s="4" t="s">
        <v>1080</v>
      </c>
      <c r="B991" s="4"/>
      <c r="C991" s="4" t="s">
        <v>1182</v>
      </c>
    </row>
    <row r="992">
      <c r="A992" s="4" t="s">
        <v>1080</v>
      </c>
      <c r="B992" s="4"/>
      <c r="C992" s="4" t="s">
        <v>1183</v>
      </c>
    </row>
    <row r="993">
      <c r="A993" s="4" t="s">
        <v>1080</v>
      </c>
      <c r="B993" s="4"/>
      <c r="C993" s="4" t="s">
        <v>1184</v>
      </c>
    </row>
    <row r="994">
      <c r="A994" s="4" t="s">
        <v>1080</v>
      </c>
      <c r="B994" s="4"/>
      <c r="C994" s="4" t="s">
        <v>1185</v>
      </c>
    </row>
    <row r="995">
      <c r="A995" s="4" t="s">
        <v>1080</v>
      </c>
      <c r="B995" s="4" t="s">
        <v>1087</v>
      </c>
      <c r="C995" s="4" t="s">
        <v>1186</v>
      </c>
      <c r="M995" s="4">
        <v>1.0</v>
      </c>
    </row>
    <row r="996">
      <c r="A996" s="4" t="s">
        <v>1080</v>
      </c>
      <c r="B996" s="4"/>
      <c r="C996" s="4" t="s">
        <v>1187</v>
      </c>
    </row>
    <row r="997">
      <c r="A997" s="4" t="s">
        <v>1080</v>
      </c>
      <c r="B997" s="4"/>
      <c r="C997" s="4" t="s">
        <v>1188</v>
      </c>
    </row>
    <row r="998">
      <c r="A998" s="4" t="s">
        <v>1080</v>
      </c>
      <c r="B998" s="4"/>
      <c r="C998" s="4" t="s">
        <v>1189</v>
      </c>
    </row>
    <row r="999">
      <c r="A999" s="4" t="s">
        <v>1080</v>
      </c>
      <c r="B999" s="4"/>
      <c r="C999" s="4" t="s">
        <v>1190</v>
      </c>
    </row>
    <row r="1000">
      <c r="A1000" s="4" t="s">
        <v>1080</v>
      </c>
      <c r="B1000" s="4"/>
      <c r="C1000" s="4" t="s">
        <v>1191</v>
      </c>
    </row>
    <row r="1001">
      <c r="A1001" s="4" t="s">
        <v>1080</v>
      </c>
      <c r="B1001" s="4"/>
      <c r="C1001" s="4" t="s">
        <v>1192</v>
      </c>
    </row>
    <row r="1002">
      <c r="A1002" s="4" t="s">
        <v>1080</v>
      </c>
      <c r="B1002" s="4"/>
      <c r="C1002" s="4" t="s">
        <v>1193</v>
      </c>
    </row>
    <row r="1003">
      <c r="A1003" s="4" t="s">
        <v>1080</v>
      </c>
      <c r="B1003" s="4"/>
      <c r="C1003" s="4" t="s">
        <v>1194</v>
      </c>
    </row>
    <row r="1004">
      <c r="A1004" s="4" t="s">
        <v>1080</v>
      </c>
      <c r="B1004" s="4"/>
      <c r="C1004" s="4" t="s">
        <v>1195</v>
      </c>
    </row>
    <row r="1005">
      <c r="A1005" s="4" t="s">
        <v>1080</v>
      </c>
      <c r="B1005" s="4"/>
      <c r="C1005" s="4" t="s">
        <v>1196</v>
      </c>
    </row>
    <row r="1006">
      <c r="A1006" s="4" t="s">
        <v>1080</v>
      </c>
      <c r="B1006" s="4"/>
      <c r="C1006" s="4" t="s">
        <v>1197</v>
      </c>
    </row>
    <row r="1007">
      <c r="A1007" s="4" t="s">
        <v>1080</v>
      </c>
      <c r="B1007" s="4"/>
      <c r="C1007" s="4" t="s">
        <v>1198</v>
      </c>
    </row>
    <row r="1008">
      <c r="A1008" s="4" t="s">
        <v>1080</v>
      </c>
      <c r="B1008" s="4"/>
      <c r="C1008" s="4" t="s">
        <v>1199</v>
      </c>
    </row>
    <row r="1009">
      <c r="A1009" s="4" t="s">
        <v>1080</v>
      </c>
      <c r="B1009" s="4"/>
      <c r="C1009" s="4" t="s">
        <v>1200</v>
      </c>
    </row>
    <row r="1010">
      <c r="A1010" s="4" t="s">
        <v>1080</v>
      </c>
      <c r="B1010" s="4"/>
      <c r="C1010" s="4" t="s">
        <v>1201</v>
      </c>
    </row>
    <row r="1011">
      <c r="A1011" s="4" t="s">
        <v>1080</v>
      </c>
      <c r="B1011" s="4"/>
      <c r="C1011" s="4" t="s">
        <v>1202</v>
      </c>
    </row>
    <row r="1012">
      <c r="A1012" s="4" t="s">
        <v>1080</v>
      </c>
      <c r="B1012" s="4"/>
      <c r="C1012" s="4" t="s">
        <v>1203</v>
      </c>
    </row>
    <row r="1013">
      <c r="A1013" s="4" t="s">
        <v>1080</v>
      </c>
      <c r="B1013" s="4"/>
      <c r="C1013" s="4" t="s">
        <v>1204</v>
      </c>
    </row>
    <row r="1014">
      <c r="A1014" s="4" t="s">
        <v>1080</v>
      </c>
      <c r="B1014" s="4"/>
      <c r="C1014" s="4" t="s">
        <v>1205</v>
      </c>
    </row>
    <row r="1015">
      <c r="A1015" s="4" t="s">
        <v>1080</v>
      </c>
      <c r="B1015" s="4"/>
      <c r="C1015" s="4" t="s">
        <v>1206</v>
      </c>
    </row>
    <row r="1016">
      <c r="A1016" s="4" t="s">
        <v>1080</v>
      </c>
      <c r="B1016" s="4"/>
      <c r="C1016" s="4" t="s">
        <v>1207</v>
      </c>
    </row>
    <row r="1017">
      <c r="A1017" s="4" t="s">
        <v>1080</v>
      </c>
      <c r="B1017" s="4"/>
      <c r="C1017" s="4" t="s">
        <v>1208</v>
      </c>
    </row>
    <row r="1018">
      <c r="A1018" s="4" t="s">
        <v>1080</v>
      </c>
      <c r="B1018" s="4"/>
      <c r="C1018" s="4" t="s">
        <v>1209</v>
      </c>
    </row>
    <row r="1019">
      <c r="A1019" s="4" t="s">
        <v>1080</v>
      </c>
      <c r="B1019" s="4"/>
      <c r="C1019" s="4" t="s">
        <v>1210</v>
      </c>
    </row>
    <row r="1020">
      <c r="A1020" s="4" t="s">
        <v>1080</v>
      </c>
      <c r="B1020" s="4"/>
      <c r="C1020" s="4" t="s">
        <v>1211</v>
      </c>
    </row>
    <row r="1021">
      <c r="I1021" s="15"/>
      <c r="L1021" s="15"/>
    </row>
  </sheetData>
  <autoFilter ref="$A$7:$AJ$1020">
    <sortState ref="A7:AJ1020">
      <sortCondition ref="A7:A1020"/>
      <sortCondition ref="B7:B1020"/>
      <sortCondition ref="C7:C1020"/>
    </sortState>
  </autoFilter>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13"/>
  </cols>
  <sheetData>
    <row r="1">
      <c r="A1" s="4" t="s">
        <v>1212</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88"/>
    <col customWidth="1" min="2" max="2" width="5.5"/>
    <col customWidth="1" min="3" max="3" width="5.88"/>
    <col customWidth="1" min="4" max="4" width="4.75"/>
    <col customWidth="1" min="5" max="5" width="5.88"/>
    <col customWidth="1" min="6" max="6" width="4.38"/>
    <col customWidth="1" min="7" max="7" width="5.0"/>
    <col customWidth="1" min="8" max="18" width="4.13"/>
    <col customWidth="1" min="19" max="60" width="3.88"/>
  </cols>
  <sheetData>
    <row r="1">
      <c r="A1" s="3">
        <f>SUM(C2:G34)-'2025 все бани'!B1-SUM('2025 все бани'!C2:AJ5)</f>
        <v>0</v>
      </c>
      <c r="B1" s="3" t="s">
        <v>2</v>
      </c>
      <c r="C1" s="3" t="s">
        <v>1213</v>
      </c>
      <c r="D1" s="3" t="s">
        <v>1214</v>
      </c>
      <c r="E1" s="3" t="s">
        <v>1215</v>
      </c>
      <c r="F1" s="3" t="s">
        <v>1216</v>
      </c>
      <c r="G1" s="3" t="s">
        <v>1217</v>
      </c>
      <c r="H1" s="4" t="s">
        <v>1218</v>
      </c>
      <c r="I1" s="4" t="s">
        <v>1219</v>
      </c>
      <c r="J1" s="4" t="s">
        <v>1220</v>
      </c>
      <c r="K1" s="4" t="s">
        <v>1221</v>
      </c>
      <c r="L1" s="4" t="s">
        <v>1222</v>
      </c>
      <c r="M1" s="4" t="s">
        <v>1223</v>
      </c>
      <c r="N1" s="4" t="s">
        <v>1224</v>
      </c>
      <c r="O1" s="4" t="s">
        <v>1225</v>
      </c>
      <c r="P1" s="4" t="s">
        <v>1226</v>
      </c>
      <c r="Q1" s="4" t="s">
        <v>1227</v>
      </c>
      <c r="R1" s="4" t="s">
        <v>1228</v>
      </c>
      <c r="S1" s="4" t="s">
        <v>1229</v>
      </c>
      <c r="T1" s="4" t="s">
        <v>1230</v>
      </c>
      <c r="U1" s="4" t="s">
        <v>1231</v>
      </c>
      <c r="V1" s="4" t="s">
        <v>1232</v>
      </c>
      <c r="W1" s="4" t="s">
        <v>1233</v>
      </c>
      <c r="X1" s="4" t="s">
        <v>1234</v>
      </c>
      <c r="Y1" s="4" t="s">
        <v>1235</v>
      </c>
      <c r="Z1" s="4" t="s">
        <v>1236</v>
      </c>
      <c r="AA1" s="4" t="s">
        <v>1237</v>
      </c>
      <c r="AB1" s="4" t="s">
        <v>1238</v>
      </c>
      <c r="AC1" s="4" t="s">
        <v>1239</v>
      </c>
      <c r="AD1" s="4" t="s">
        <v>1240</v>
      </c>
      <c r="AE1" s="4" t="s">
        <v>1241</v>
      </c>
      <c r="AF1" s="4" t="s">
        <v>1242</v>
      </c>
      <c r="AG1" s="4" t="s">
        <v>1243</v>
      </c>
      <c r="AH1" s="4" t="s">
        <v>1244</v>
      </c>
      <c r="AI1" s="4" t="s">
        <v>1245</v>
      </c>
      <c r="AJ1" s="4" t="s">
        <v>1246</v>
      </c>
      <c r="AK1" s="4" t="s">
        <v>1247</v>
      </c>
      <c r="AL1" s="4" t="s">
        <v>1248</v>
      </c>
      <c r="AM1" s="4" t="s">
        <v>1249</v>
      </c>
      <c r="AN1" s="4" t="s">
        <v>1250</v>
      </c>
      <c r="AO1" s="4" t="s">
        <v>1251</v>
      </c>
      <c r="AP1" s="4" t="s">
        <v>1252</v>
      </c>
      <c r="AQ1" s="4" t="s">
        <v>1253</v>
      </c>
      <c r="AR1" s="4" t="s">
        <v>1254</v>
      </c>
      <c r="AS1" s="4" t="s">
        <v>1255</v>
      </c>
      <c r="AT1" s="4" t="s">
        <v>1256</v>
      </c>
      <c r="AU1" s="4" t="s">
        <v>1257</v>
      </c>
      <c r="AV1" s="4" t="s">
        <v>1258</v>
      </c>
      <c r="AW1" s="4" t="s">
        <v>1259</v>
      </c>
      <c r="AX1" s="4" t="s">
        <v>1260</v>
      </c>
      <c r="AY1" s="4" t="s">
        <v>1261</v>
      </c>
      <c r="AZ1" s="4" t="s">
        <v>52</v>
      </c>
      <c r="BA1" s="4" t="s">
        <v>10</v>
      </c>
      <c r="BB1" s="4" t="s">
        <v>11</v>
      </c>
      <c r="BC1" s="4" t="s">
        <v>12</v>
      </c>
      <c r="BD1" s="4" t="s">
        <v>13</v>
      </c>
      <c r="BE1" s="4" t="s">
        <v>14</v>
      </c>
      <c r="BF1" s="4" t="s">
        <v>15</v>
      </c>
      <c r="BG1" s="4" t="s">
        <v>16</v>
      </c>
      <c r="BH1" s="4" t="s">
        <v>17</v>
      </c>
    </row>
    <row r="2">
      <c r="A2" s="4" t="s">
        <v>23</v>
      </c>
      <c r="B2" s="16">
        <f t="shared" ref="B2:B34" si="1">SUM(C2:BH2)</f>
        <v>662.575</v>
      </c>
      <c r="C2" s="6">
        <f>VLOOKUP(A2,'2025 недельный зачет'!$A:$B,2,FALSE)</f>
        <v>162</v>
      </c>
      <c r="D2" s="6">
        <f>HLOOKUP(A2,'2025 все бани'!$1:$5,5,FALSE)</f>
        <v>54</v>
      </c>
      <c r="E2" s="6">
        <f>HLOOKUP(A2,'2025 все бани'!$1:$5,4,FALSE)</f>
        <v>16</v>
      </c>
      <c r="F2" s="6">
        <f>HLOOKUP(A2,'2025 все бани'!$1:$5,3,FALSE)</f>
        <v>79</v>
      </c>
      <c r="G2" s="6">
        <f>HLOOKUP(A2,'2025 все бани'!$1:$5,2,FALSE)</f>
        <v>48</v>
      </c>
      <c r="H2" s="7">
        <v>0.125</v>
      </c>
      <c r="I2" s="7">
        <f>1/6</f>
        <v>0.1666666667</v>
      </c>
      <c r="J2" s="4">
        <v>3.0</v>
      </c>
      <c r="K2" s="4">
        <v>5.0</v>
      </c>
      <c r="L2" s="4">
        <v>0.0</v>
      </c>
      <c r="M2" s="7">
        <v>7.0</v>
      </c>
      <c r="N2" s="7">
        <v>10.0</v>
      </c>
      <c r="O2" s="7">
        <v>10.0</v>
      </c>
      <c r="P2" s="7">
        <v>8.5</v>
      </c>
      <c r="Q2" s="7">
        <v>1.666666667</v>
      </c>
      <c r="R2" s="7">
        <v>8.5</v>
      </c>
      <c r="S2" s="7">
        <v>10.0</v>
      </c>
      <c r="T2" s="7">
        <v>5.0</v>
      </c>
      <c r="U2" s="7">
        <f t="shared" ref="U2:U3" si="2">11/6</f>
        <v>1.833333333</v>
      </c>
      <c r="V2" s="7">
        <v>10.0</v>
      </c>
      <c r="W2" s="7">
        <v>5.0</v>
      </c>
      <c r="X2" s="7">
        <f t="shared" ref="X2:X3" si="3">22/3</f>
        <v>7.333333333</v>
      </c>
      <c r="Y2" s="4">
        <v>10.0</v>
      </c>
      <c r="Z2" s="4">
        <v>8.5</v>
      </c>
      <c r="AA2" s="4">
        <v>0.0</v>
      </c>
      <c r="AB2" s="4">
        <v>4.0</v>
      </c>
      <c r="AC2" s="4">
        <v>10.0</v>
      </c>
      <c r="AD2" s="4">
        <v>0.5</v>
      </c>
      <c r="AE2" s="4">
        <v>0.0</v>
      </c>
      <c r="AF2" s="4">
        <v>0.0</v>
      </c>
      <c r="AG2" s="7">
        <v>2.0</v>
      </c>
      <c r="AH2" s="7">
        <v>7.0</v>
      </c>
      <c r="AI2" s="7">
        <f>18/6</f>
        <v>3</v>
      </c>
      <c r="AJ2" s="7">
        <v>8.5</v>
      </c>
      <c r="AK2" s="7">
        <v>10.0</v>
      </c>
      <c r="AL2" s="7">
        <v>8.5</v>
      </c>
      <c r="AM2" s="7">
        <v>5.0</v>
      </c>
      <c r="AN2" s="7">
        <f>11/4</f>
        <v>2.75</v>
      </c>
      <c r="AO2" s="7">
        <f>22/3</f>
        <v>7.333333333</v>
      </c>
      <c r="AP2" s="4">
        <v>0.0</v>
      </c>
      <c r="AQ2" s="7">
        <v>4.0</v>
      </c>
      <c r="AR2" s="7">
        <v>8.5</v>
      </c>
      <c r="AS2" s="7">
        <v>10.0</v>
      </c>
      <c r="AT2" s="7">
        <f>25/4</f>
        <v>6.25</v>
      </c>
      <c r="AU2" s="7">
        <v>8.5</v>
      </c>
      <c r="AV2" s="7">
        <v>10.0</v>
      </c>
      <c r="AW2" s="7">
        <v>6.0</v>
      </c>
      <c r="AX2" s="7">
        <f>22/3</f>
        <v>7.333333333</v>
      </c>
      <c r="AY2" s="7">
        <f>11/5</f>
        <v>2.2</v>
      </c>
      <c r="AZ2" s="7">
        <v>10.0</v>
      </c>
      <c r="BA2" s="7">
        <f>22/3</f>
        <v>7.333333333</v>
      </c>
      <c r="BB2" s="7">
        <v>10.0</v>
      </c>
      <c r="BC2" s="7">
        <v>10.0</v>
      </c>
      <c r="BD2" s="7">
        <f t="shared" ref="BD2:BD3" si="4">25/4</f>
        <v>6.25</v>
      </c>
      <c r="BE2" s="7">
        <v>6.0</v>
      </c>
      <c r="BF2" s="7">
        <v>10.0</v>
      </c>
      <c r="BG2" s="7">
        <v>1.0</v>
      </c>
      <c r="BH2" s="4">
        <v>0.0</v>
      </c>
    </row>
    <row r="3">
      <c r="A3" s="4" t="s">
        <v>19</v>
      </c>
      <c r="B3" s="16">
        <f t="shared" si="1"/>
        <v>513.2</v>
      </c>
      <c r="C3" s="6">
        <f>VLOOKUP(A3,'2025 недельный зачет'!$A:$B,2,FALSE)</f>
        <v>107</v>
      </c>
      <c r="D3" s="6">
        <f>HLOOKUP(A3,'2025 все бани'!$1:$5,5,FALSE)</f>
        <v>95</v>
      </c>
      <c r="E3" s="6">
        <f>HLOOKUP(A3,'2025 все бани'!$1:$5,4,FALSE)</f>
        <v>65</v>
      </c>
      <c r="F3" s="6">
        <f>HLOOKUP(A3,'2025 все бани'!$1:$5,3,FALSE)</f>
        <v>48</v>
      </c>
      <c r="G3" s="6">
        <f>HLOOKUP(A3,'2025 все бани'!$1:$5,2,FALSE)</f>
        <v>33</v>
      </c>
      <c r="H3" s="4">
        <v>10.0</v>
      </c>
      <c r="I3" s="4">
        <v>0.0</v>
      </c>
      <c r="J3" s="4">
        <v>0.0</v>
      </c>
      <c r="K3" s="4">
        <v>8.5</v>
      </c>
      <c r="L3" s="4">
        <v>0.0</v>
      </c>
      <c r="M3" s="4">
        <v>10.0</v>
      </c>
      <c r="N3" s="4">
        <v>0.0</v>
      </c>
      <c r="O3" s="7">
        <f>6/8</f>
        <v>0.75</v>
      </c>
      <c r="P3" s="4">
        <v>0.0</v>
      </c>
      <c r="Q3" s="4">
        <v>0.0</v>
      </c>
      <c r="R3" s="4">
        <v>0.0</v>
      </c>
      <c r="S3" s="4">
        <v>0.0</v>
      </c>
      <c r="T3" s="7">
        <v>10.0</v>
      </c>
      <c r="U3" s="7">
        <f t="shared" si="2"/>
        <v>1.833333333</v>
      </c>
      <c r="V3" s="7">
        <v>7.0</v>
      </c>
      <c r="W3" s="7">
        <v>0.5</v>
      </c>
      <c r="X3" s="7">
        <f t="shared" si="3"/>
        <v>7.333333333</v>
      </c>
      <c r="Y3" s="4">
        <v>0.0</v>
      </c>
      <c r="Z3" s="7">
        <v>5.0</v>
      </c>
      <c r="AA3" s="7">
        <f>22/3</f>
        <v>7.333333333</v>
      </c>
      <c r="AB3" s="4">
        <v>0.0</v>
      </c>
      <c r="AC3" s="4">
        <v>0.0</v>
      </c>
      <c r="AD3" s="4">
        <v>0.5</v>
      </c>
      <c r="AE3" s="7">
        <v>8.5</v>
      </c>
      <c r="AF3" s="7">
        <v>2.2</v>
      </c>
      <c r="AG3" s="4">
        <v>10.0</v>
      </c>
      <c r="AH3" s="4">
        <v>10.0</v>
      </c>
      <c r="AI3" s="4">
        <v>10.0</v>
      </c>
      <c r="AJ3" s="4">
        <v>0.0</v>
      </c>
      <c r="AK3" s="4">
        <v>0.0</v>
      </c>
      <c r="AL3" s="4">
        <v>0.0</v>
      </c>
      <c r="AM3" s="4">
        <v>0.0</v>
      </c>
      <c r="AN3" s="4">
        <v>10.0</v>
      </c>
      <c r="AO3" s="4">
        <v>0.0</v>
      </c>
      <c r="AP3" s="7">
        <v>10.0</v>
      </c>
      <c r="AQ3" s="7">
        <v>2.0</v>
      </c>
      <c r="AR3" s="7">
        <f t="shared" ref="AR3:AR4" si="5">11/5</f>
        <v>2.2</v>
      </c>
      <c r="AS3" s="4">
        <v>0.0</v>
      </c>
      <c r="AT3" s="4">
        <v>0.0</v>
      </c>
      <c r="AU3" s="4">
        <v>0.0</v>
      </c>
      <c r="AV3" s="7">
        <v>0.3</v>
      </c>
      <c r="AW3" s="7">
        <f>1/4</f>
        <v>0.25</v>
      </c>
      <c r="AX3" s="4">
        <v>0.0</v>
      </c>
      <c r="AY3" s="4">
        <v>0.0</v>
      </c>
      <c r="AZ3" s="4">
        <v>0.0</v>
      </c>
      <c r="BA3" s="4">
        <v>0.0</v>
      </c>
      <c r="BB3" s="7">
        <v>0.75</v>
      </c>
      <c r="BC3" s="7">
        <f t="shared" ref="BC3:BC4" si="6">17/4</f>
        <v>4.25</v>
      </c>
      <c r="BD3" s="7">
        <f t="shared" si="4"/>
        <v>6.25</v>
      </c>
      <c r="BE3" s="7">
        <v>2.5</v>
      </c>
      <c r="BF3" s="7">
        <v>5.0</v>
      </c>
      <c r="BG3" s="7">
        <v>6.0</v>
      </c>
      <c r="BH3" s="5">
        <f>25/4</f>
        <v>6.25</v>
      </c>
    </row>
    <row r="4">
      <c r="A4" s="4" t="s">
        <v>24</v>
      </c>
      <c r="B4" s="16">
        <f t="shared" si="1"/>
        <v>488.0075758</v>
      </c>
      <c r="C4" s="6">
        <f>VLOOKUP(A4,'2025 недельный зачет'!$A:$B,2,FALSE)</f>
        <v>108</v>
      </c>
      <c r="D4" s="6">
        <f>HLOOKUP(A4,'2025 все бани'!$1:$5,5,FALSE)</f>
        <v>71</v>
      </c>
      <c r="E4" s="6">
        <f>HLOOKUP(A4,'2025 все бани'!$1:$5,4,FALSE)</f>
        <v>21</v>
      </c>
      <c r="F4" s="6">
        <f>HLOOKUP(A4,'2025 все бани'!$1:$5,3,FALSE)</f>
        <v>90</v>
      </c>
      <c r="G4" s="6">
        <f>HLOOKUP(A4,'2025 все бани'!$1:$5,2,FALSE)</f>
        <v>62</v>
      </c>
      <c r="H4" s="7">
        <v>0.0</v>
      </c>
      <c r="I4" s="7">
        <f>1/6</f>
        <v>0.1666666667</v>
      </c>
      <c r="J4" s="4">
        <v>6.0</v>
      </c>
      <c r="K4" s="4">
        <v>0.0</v>
      </c>
      <c r="L4" s="7">
        <v>2.0</v>
      </c>
      <c r="M4" s="7">
        <v>0.1666666667</v>
      </c>
      <c r="N4" s="4">
        <f>6/10</f>
        <v>0.6</v>
      </c>
      <c r="O4" s="4">
        <v>0.0</v>
      </c>
      <c r="P4" s="7">
        <v>8.5</v>
      </c>
      <c r="Q4" s="4">
        <v>3.0</v>
      </c>
      <c r="R4" s="4">
        <v>0.0</v>
      </c>
      <c r="S4" s="4">
        <f>18/5</f>
        <v>3.6</v>
      </c>
      <c r="T4" s="4">
        <v>5.0</v>
      </c>
      <c r="U4" s="4">
        <v>8.5</v>
      </c>
      <c r="V4" s="4">
        <v>0.0</v>
      </c>
      <c r="W4" s="7">
        <v>0.5</v>
      </c>
      <c r="X4" s="4">
        <v>0.0</v>
      </c>
      <c r="Y4" s="4">
        <v>1.0</v>
      </c>
      <c r="Z4" s="4">
        <v>0.0</v>
      </c>
      <c r="AA4" s="4">
        <v>0.0</v>
      </c>
      <c r="AB4" s="4">
        <v>0.0</v>
      </c>
      <c r="AC4" s="4">
        <v>0.0</v>
      </c>
      <c r="AD4" s="7">
        <f>25/4</f>
        <v>6.25</v>
      </c>
      <c r="AE4" s="4">
        <v>0.0</v>
      </c>
      <c r="AF4" s="7">
        <v>2.2</v>
      </c>
      <c r="AG4" s="4">
        <v>0.0</v>
      </c>
      <c r="AH4" s="7">
        <v>4.0</v>
      </c>
      <c r="AI4" s="7">
        <f>18/6</f>
        <v>3</v>
      </c>
      <c r="AJ4" s="7">
        <f t="shared" ref="AJ4:AJ5" si="7">11/4</f>
        <v>2.75</v>
      </c>
      <c r="AK4" s="7">
        <f t="shared" ref="AK4:AK5" si="8">1/11</f>
        <v>0.09090909091</v>
      </c>
      <c r="AL4" s="7">
        <v>0.0</v>
      </c>
      <c r="AM4" s="7">
        <v>10.0</v>
      </c>
      <c r="AN4" s="7">
        <f>11/4</f>
        <v>2.75</v>
      </c>
      <c r="AO4" s="7">
        <f t="shared" ref="AO4:AO5" si="9">6/5</f>
        <v>1.2</v>
      </c>
      <c r="AP4" s="7">
        <v>2.0</v>
      </c>
      <c r="AQ4" s="7">
        <f>1/6</f>
        <v>0.1666666667</v>
      </c>
      <c r="AR4" s="7">
        <f t="shared" si="5"/>
        <v>2.2</v>
      </c>
      <c r="AS4" s="7">
        <v>0.5</v>
      </c>
      <c r="AT4" s="7">
        <f>25/4</f>
        <v>6.25</v>
      </c>
      <c r="AU4" s="7">
        <v>8.5</v>
      </c>
      <c r="AV4" s="7">
        <v>7.0</v>
      </c>
      <c r="AW4" s="7">
        <v>2.5</v>
      </c>
      <c r="AX4" s="7">
        <f>22/3</f>
        <v>7.333333333</v>
      </c>
      <c r="AY4" s="7">
        <f>11/5</f>
        <v>2.2</v>
      </c>
      <c r="AZ4" s="7">
        <v>7.0</v>
      </c>
      <c r="BA4" s="7">
        <f>22/3</f>
        <v>7.333333333</v>
      </c>
      <c r="BB4" s="7">
        <v>5.0</v>
      </c>
      <c r="BC4" s="7">
        <f t="shared" si="6"/>
        <v>4.25</v>
      </c>
      <c r="BD4" s="7">
        <v>0.0</v>
      </c>
      <c r="BE4" s="7">
        <v>2.5</v>
      </c>
      <c r="BF4" s="4">
        <v>0.0</v>
      </c>
      <c r="BG4" s="4">
        <v>0.0</v>
      </c>
      <c r="BH4" s="4">
        <v>0.0</v>
      </c>
    </row>
    <row r="5">
      <c r="A5" s="4" t="s">
        <v>28</v>
      </c>
      <c r="B5" s="16">
        <f t="shared" si="1"/>
        <v>414.7830087</v>
      </c>
      <c r="C5" s="6">
        <f>VLOOKUP(A5,'2025 недельный зачет'!$A:$B,2,FALSE)</f>
        <v>104</v>
      </c>
      <c r="D5" s="6">
        <f>HLOOKUP(A5,'2025 все бани'!$1:$5,5,FALSE)</f>
        <v>74</v>
      </c>
      <c r="E5" s="6">
        <f>HLOOKUP(A5,'2025 все бани'!$1:$5,4,FALSE)</f>
        <v>34</v>
      </c>
      <c r="F5" s="6">
        <f>HLOOKUP(A5,'2025 все бани'!$1:$5,3,FALSE)</f>
        <v>71</v>
      </c>
      <c r="G5" s="6">
        <f>HLOOKUP(A5,'2025 все бани'!$1:$5,2,FALSE)</f>
        <v>37</v>
      </c>
      <c r="H5" s="7">
        <v>0.125</v>
      </c>
      <c r="I5" s="4">
        <v>3.0</v>
      </c>
      <c r="J5" s="4">
        <v>10.0</v>
      </c>
      <c r="K5" s="4">
        <f>3/5</f>
        <v>0.6</v>
      </c>
      <c r="L5" s="4">
        <v>5.0</v>
      </c>
      <c r="M5" s="4">
        <v>2.5</v>
      </c>
      <c r="N5" s="4">
        <v>0.0</v>
      </c>
      <c r="O5" s="4">
        <v>0.0</v>
      </c>
      <c r="P5" s="7">
        <f t="shared" ref="P5:P6" si="10">1/7</f>
        <v>0.1428571429</v>
      </c>
      <c r="Q5" s="7">
        <v>1.666666667</v>
      </c>
      <c r="R5" s="4">
        <v>0.0</v>
      </c>
      <c r="S5" s="4">
        <v>0.0</v>
      </c>
      <c r="T5" s="4">
        <v>1.5</v>
      </c>
      <c r="U5" s="4">
        <v>8.5</v>
      </c>
      <c r="V5" s="7">
        <v>1.222222222</v>
      </c>
      <c r="W5" s="7">
        <v>10.0</v>
      </c>
      <c r="X5" s="7">
        <f>1/9</f>
        <v>0.1111111111</v>
      </c>
      <c r="Y5" s="4">
        <v>1.0</v>
      </c>
      <c r="Z5" s="4">
        <v>1.0</v>
      </c>
      <c r="AA5" s="4">
        <v>2.0</v>
      </c>
      <c r="AB5" s="4">
        <v>0.0</v>
      </c>
      <c r="AC5" s="4">
        <v>0.0</v>
      </c>
      <c r="AD5" s="4">
        <v>0.5</v>
      </c>
      <c r="AE5" s="4">
        <v>0.0</v>
      </c>
      <c r="AF5" s="7">
        <v>2.2</v>
      </c>
      <c r="AG5" s="4">
        <v>0.0</v>
      </c>
      <c r="AH5" s="4">
        <v>0.0</v>
      </c>
      <c r="AI5" s="4">
        <v>0.0</v>
      </c>
      <c r="AJ5" s="7">
        <f t="shared" si="7"/>
        <v>2.75</v>
      </c>
      <c r="AK5" s="7">
        <f t="shared" si="8"/>
        <v>0.09090909091</v>
      </c>
      <c r="AL5" s="7">
        <v>8.5</v>
      </c>
      <c r="AM5" s="7">
        <f>1/3</f>
        <v>0.3333333333</v>
      </c>
      <c r="AN5" s="4">
        <v>0.0</v>
      </c>
      <c r="AO5" s="7">
        <f t="shared" si="9"/>
        <v>1.2</v>
      </c>
      <c r="AP5" s="4">
        <v>0.0</v>
      </c>
      <c r="AQ5" s="4">
        <v>0.0</v>
      </c>
      <c r="AR5" s="4">
        <v>0.0</v>
      </c>
      <c r="AS5" s="7">
        <v>0.5</v>
      </c>
      <c r="AT5" s="7">
        <v>2.0</v>
      </c>
      <c r="AU5" s="7">
        <v>2.0</v>
      </c>
      <c r="AV5" s="7">
        <v>4.0</v>
      </c>
      <c r="AW5" s="7">
        <v>2.5</v>
      </c>
      <c r="AX5" s="7">
        <v>1.5</v>
      </c>
      <c r="AY5" s="4">
        <v>0.0</v>
      </c>
      <c r="AZ5" s="7">
        <v>0.09090909091</v>
      </c>
      <c r="BA5" s="4">
        <v>0.0</v>
      </c>
      <c r="BB5" s="4">
        <v>5.0</v>
      </c>
      <c r="BC5" s="4">
        <v>0.0</v>
      </c>
      <c r="BD5" s="7">
        <v>0.0</v>
      </c>
      <c r="BE5" s="7">
        <v>6.0</v>
      </c>
      <c r="BF5" s="4">
        <v>0.0</v>
      </c>
      <c r="BG5" s="7">
        <v>1.0</v>
      </c>
      <c r="BH5" s="5">
        <f t="shared" ref="BH5:BH6" si="11">25/4</f>
        <v>6.25</v>
      </c>
    </row>
    <row r="6">
      <c r="A6" s="4" t="s">
        <v>18</v>
      </c>
      <c r="B6" s="16">
        <f t="shared" si="1"/>
        <v>391.7059885</v>
      </c>
      <c r="C6" s="6">
        <f>VLOOKUP(A6,'2025 недельный зачет'!$A:$B,2,FALSE)</f>
        <v>99</v>
      </c>
      <c r="D6" s="6">
        <f>HLOOKUP(A6,'2025 все бани'!$1:$5,5,FALSE)</f>
        <v>55</v>
      </c>
      <c r="E6" s="6">
        <f>HLOOKUP(A6,'2025 все бани'!$1:$5,4,FALSE)</f>
        <v>33</v>
      </c>
      <c r="F6" s="6">
        <f>HLOOKUP(A6,'2025 все бани'!$1:$5,3,FALSE)</f>
        <v>37</v>
      </c>
      <c r="G6" s="6">
        <f>HLOOKUP(A6,'2025 все бани'!$1:$5,2,FALSE)</f>
        <v>39</v>
      </c>
      <c r="H6" s="7">
        <v>6.0</v>
      </c>
      <c r="I6" s="7">
        <f t="shared" ref="I6:I7" si="12">1/6</f>
        <v>0.1666666667</v>
      </c>
      <c r="J6" s="4">
        <v>1.5</v>
      </c>
      <c r="K6" s="4">
        <v>8.5</v>
      </c>
      <c r="L6" s="4">
        <v>0.0</v>
      </c>
      <c r="M6" s="4">
        <v>0.0</v>
      </c>
      <c r="N6" s="4">
        <f t="shared" ref="N6:N8" si="13">6/10</f>
        <v>0.6</v>
      </c>
      <c r="O6" s="7">
        <f t="shared" ref="O6:O8" si="14">6/8</f>
        <v>0.75</v>
      </c>
      <c r="P6" s="7">
        <f t="shared" si="10"/>
        <v>0.1428571429</v>
      </c>
      <c r="Q6" s="4">
        <v>10.0</v>
      </c>
      <c r="R6" s="4">
        <v>0.0</v>
      </c>
      <c r="S6" s="4">
        <f>18/5</f>
        <v>3.6</v>
      </c>
      <c r="T6" s="4">
        <v>5.0</v>
      </c>
      <c r="U6" s="7">
        <f t="shared" ref="U6:U7" si="15">11/6</f>
        <v>1.833333333</v>
      </c>
      <c r="V6" s="7">
        <v>1.222222222</v>
      </c>
      <c r="W6" s="7">
        <v>0.5</v>
      </c>
      <c r="X6" s="4">
        <v>0.0</v>
      </c>
      <c r="Y6" s="4">
        <v>1.0</v>
      </c>
      <c r="Z6" s="4">
        <v>0.0</v>
      </c>
      <c r="AA6" s="7">
        <f>22/3</f>
        <v>7.333333333</v>
      </c>
      <c r="AB6" s="4">
        <v>0.0</v>
      </c>
      <c r="AC6" s="4">
        <v>0.0</v>
      </c>
      <c r="AD6" s="4">
        <v>0.0</v>
      </c>
      <c r="AE6" s="4">
        <v>0.0</v>
      </c>
      <c r="AF6" s="4">
        <v>0.0</v>
      </c>
      <c r="AG6" s="4">
        <v>0.0</v>
      </c>
      <c r="AH6" s="7">
        <v>0.5</v>
      </c>
      <c r="AI6" s="7">
        <f t="shared" ref="AI6:AI7" si="16">18/6</f>
        <v>3</v>
      </c>
      <c r="AJ6" s="4">
        <v>0.0</v>
      </c>
      <c r="AK6" s="7">
        <v>7.0</v>
      </c>
      <c r="AL6" s="7">
        <v>0.75</v>
      </c>
      <c r="AM6" s="7">
        <v>5.0</v>
      </c>
      <c r="AN6" s="4">
        <v>0.0</v>
      </c>
      <c r="AO6" s="7">
        <f>22/3</f>
        <v>7.333333333</v>
      </c>
      <c r="AP6" s="4">
        <v>6.0</v>
      </c>
      <c r="AQ6" s="4">
        <v>10.0</v>
      </c>
      <c r="AR6" s="4">
        <v>0.0</v>
      </c>
      <c r="AS6" s="7">
        <v>7.0</v>
      </c>
      <c r="AT6" s="7">
        <f>25/4</f>
        <v>6.25</v>
      </c>
      <c r="AU6" s="7">
        <v>5.0</v>
      </c>
      <c r="AV6" s="7">
        <v>0.3</v>
      </c>
      <c r="AW6" s="4">
        <v>0.0</v>
      </c>
      <c r="AX6" s="7">
        <v>1.5</v>
      </c>
      <c r="AY6" s="4">
        <v>0.0</v>
      </c>
      <c r="AZ6" s="7">
        <v>3.333333333</v>
      </c>
      <c r="BA6" s="4">
        <v>0.0</v>
      </c>
      <c r="BB6" s="7">
        <v>0.75</v>
      </c>
      <c r="BC6" s="7">
        <f>17/4</f>
        <v>4.25</v>
      </c>
      <c r="BD6" s="7">
        <f>25/4</f>
        <v>6.25</v>
      </c>
      <c r="BE6" s="7">
        <f>1/11</f>
        <v>0.09090909091</v>
      </c>
      <c r="BF6" s="4">
        <v>0.0</v>
      </c>
      <c r="BG6" s="4">
        <v>0.0</v>
      </c>
      <c r="BH6" s="5">
        <f t="shared" si="11"/>
        <v>6.25</v>
      </c>
    </row>
    <row r="7">
      <c r="A7" s="4" t="s">
        <v>26</v>
      </c>
      <c r="B7" s="16">
        <f t="shared" si="1"/>
        <v>369.5277778</v>
      </c>
      <c r="C7" s="6">
        <f>VLOOKUP(A7,'2025 недельный зачет'!$A:$B,2,FALSE)</f>
        <v>86</v>
      </c>
      <c r="D7" s="6">
        <f>HLOOKUP(A7,'2025 все бани'!$1:$5,5,FALSE)</f>
        <v>66</v>
      </c>
      <c r="E7" s="6">
        <f>HLOOKUP(A7,'2025 все бани'!$1:$5,4,FALSE)</f>
        <v>37</v>
      </c>
      <c r="F7" s="6">
        <f>HLOOKUP(A7,'2025 все бани'!$1:$5,3,FALSE)</f>
        <v>55</v>
      </c>
      <c r="G7" s="6">
        <f>HLOOKUP(A7,'2025 все бани'!$1:$5,2,FALSE)</f>
        <v>56</v>
      </c>
      <c r="H7" s="7">
        <v>0.125</v>
      </c>
      <c r="I7" s="7">
        <f t="shared" si="12"/>
        <v>0.1666666667</v>
      </c>
      <c r="J7" s="4">
        <v>1.5</v>
      </c>
      <c r="K7" s="4">
        <f>3/5</f>
        <v>0.6</v>
      </c>
      <c r="L7" s="4">
        <v>10.0</v>
      </c>
      <c r="M7" s="4">
        <v>5.0</v>
      </c>
      <c r="N7" s="4">
        <f t="shared" si="13"/>
        <v>0.6</v>
      </c>
      <c r="O7" s="7">
        <f t="shared" si="14"/>
        <v>0.75</v>
      </c>
      <c r="P7" s="4">
        <v>0.0</v>
      </c>
      <c r="Q7" s="7">
        <v>6.0</v>
      </c>
      <c r="R7" s="7">
        <f>11/4</f>
        <v>2.75</v>
      </c>
      <c r="S7" s="4">
        <v>0.0</v>
      </c>
      <c r="T7" s="4">
        <v>0.0</v>
      </c>
      <c r="U7" s="7">
        <f t="shared" si="15"/>
        <v>1.833333333</v>
      </c>
      <c r="V7" s="4">
        <v>0.0</v>
      </c>
      <c r="W7" s="7">
        <v>5.0</v>
      </c>
      <c r="X7" s="7">
        <f>1/9</f>
        <v>0.1111111111</v>
      </c>
      <c r="Y7" s="4">
        <v>0.0</v>
      </c>
      <c r="Z7" s="4">
        <v>1.0</v>
      </c>
      <c r="AA7" s="4">
        <v>0.0</v>
      </c>
      <c r="AB7" s="4">
        <v>0.0</v>
      </c>
      <c r="AC7" s="4">
        <v>0.0</v>
      </c>
      <c r="AD7" s="4">
        <v>0.5</v>
      </c>
      <c r="AE7" s="7">
        <f t="shared" ref="AE7:AE8" si="17">11/4</f>
        <v>2.75</v>
      </c>
      <c r="AF7" s="7">
        <v>8.5</v>
      </c>
      <c r="AG7" s="7">
        <v>2.0</v>
      </c>
      <c r="AH7" s="7">
        <v>4.0</v>
      </c>
      <c r="AI7" s="7">
        <f t="shared" si="16"/>
        <v>3</v>
      </c>
      <c r="AJ7" s="4">
        <v>0.0</v>
      </c>
      <c r="AK7" s="4">
        <v>0.0</v>
      </c>
      <c r="AL7" s="7">
        <v>0.75</v>
      </c>
      <c r="AM7" s="4">
        <v>0.0</v>
      </c>
      <c r="AN7" s="4">
        <v>0.0</v>
      </c>
      <c r="AO7" s="4">
        <v>0.0</v>
      </c>
      <c r="AP7" s="4">
        <v>0.0</v>
      </c>
      <c r="AQ7" s="4">
        <v>0.0</v>
      </c>
      <c r="AR7" s="7">
        <v>8.5</v>
      </c>
      <c r="AS7" s="4">
        <v>0.0</v>
      </c>
      <c r="AT7" s="7">
        <f>1/6</f>
        <v>0.1666666667</v>
      </c>
      <c r="AU7" s="4">
        <v>0.0</v>
      </c>
      <c r="AV7" s="7">
        <v>0.3</v>
      </c>
      <c r="AW7" s="7">
        <f t="shared" ref="AW7:AW8" si="18">1/4</f>
        <v>0.25</v>
      </c>
      <c r="AX7" s="4">
        <v>0.0</v>
      </c>
      <c r="AY7" s="4">
        <v>0.0</v>
      </c>
      <c r="AZ7" s="4">
        <v>0.0</v>
      </c>
      <c r="BA7" s="4">
        <v>0.0</v>
      </c>
      <c r="BB7" s="4">
        <v>0.0</v>
      </c>
      <c r="BC7" s="4">
        <v>0.0</v>
      </c>
      <c r="BD7" s="7">
        <v>0.0</v>
      </c>
      <c r="BE7" s="4">
        <v>0.0</v>
      </c>
      <c r="BF7" s="4">
        <v>0.0</v>
      </c>
      <c r="BG7" s="7">
        <v>3.0</v>
      </c>
      <c r="BH7" s="5">
        <f t="shared" ref="BH7:BH9" si="19">3/8</f>
        <v>0.375</v>
      </c>
    </row>
    <row r="8">
      <c r="A8" s="4" t="s">
        <v>20</v>
      </c>
      <c r="B8" s="16">
        <f t="shared" si="1"/>
        <v>347.2957071</v>
      </c>
      <c r="C8" s="6">
        <f>VLOOKUP(A8,'2025 недельный зачет'!$A:$B,2,FALSE)</f>
        <v>79</v>
      </c>
      <c r="D8" s="6">
        <f>HLOOKUP(A8,'2025 все бани'!$1:$5,5,FALSE)</f>
        <v>61</v>
      </c>
      <c r="E8" s="6">
        <f>HLOOKUP(A8,'2025 все бани'!$1:$5,4,FALSE)</f>
        <v>29</v>
      </c>
      <c r="F8" s="6">
        <f>HLOOKUP(A8,'2025 все бани'!$1:$5,3,FALSE)</f>
        <v>53</v>
      </c>
      <c r="G8" s="6">
        <f>HLOOKUP(A8,'2025 все бани'!$1:$5,2,FALSE)</f>
        <v>58</v>
      </c>
      <c r="H8" s="4">
        <v>6.0</v>
      </c>
      <c r="I8" s="4">
        <v>0.0</v>
      </c>
      <c r="J8" s="4">
        <v>0.0</v>
      </c>
      <c r="K8" s="4">
        <v>0.0</v>
      </c>
      <c r="L8" s="4">
        <v>0.0</v>
      </c>
      <c r="M8" s="7">
        <v>0.1666666667</v>
      </c>
      <c r="N8" s="4">
        <f t="shared" si="13"/>
        <v>0.6</v>
      </c>
      <c r="O8" s="7">
        <f t="shared" si="14"/>
        <v>0.75</v>
      </c>
      <c r="P8" s="7">
        <f>10/3</f>
        <v>3.333333333</v>
      </c>
      <c r="Q8" s="7">
        <v>1.666666667</v>
      </c>
      <c r="R8" s="4">
        <v>0.0</v>
      </c>
      <c r="S8" s="4">
        <v>0.0</v>
      </c>
      <c r="T8" s="4">
        <v>0.0</v>
      </c>
      <c r="U8" s="4">
        <v>0.0</v>
      </c>
      <c r="V8" s="7">
        <v>1.222222222</v>
      </c>
      <c r="W8" s="4">
        <v>0.0</v>
      </c>
      <c r="X8" s="4">
        <v>0.0</v>
      </c>
      <c r="Y8" s="4">
        <v>0.0</v>
      </c>
      <c r="Z8" s="4">
        <v>1.0</v>
      </c>
      <c r="AA8" s="4">
        <v>2.0</v>
      </c>
      <c r="AB8" s="4">
        <v>4.0</v>
      </c>
      <c r="AC8" s="4">
        <v>0.0</v>
      </c>
      <c r="AD8" s="4">
        <v>0.0</v>
      </c>
      <c r="AE8" s="7">
        <f t="shared" si="17"/>
        <v>2.75</v>
      </c>
      <c r="AF8" s="4">
        <v>8.5</v>
      </c>
      <c r="AG8" s="4">
        <v>0.0</v>
      </c>
      <c r="AH8" s="4">
        <v>0.0</v>
      </c>
      <c r="AI8" s="4">
        <v>0.0</v>
      </c>
      <c r="AJ8" s="7">
        <f>11/4</f>
        <v>2.75</v>
      </c>
      <c r="AK8" s="7">
        <f>10/3</f>
        <v>3.333333333</v>
      </c>
      <c r="AL8" s="7">
        <v>0.75</v>
      </c>
      <c r="AM8" s="7">
        <f>1/3</f>
        <v>0.3333333333</v>
      </c>
      <c r="AN8" s="4">
        <v>0.0</v>
      </c>
      <c r="AO8" s="4">
        <v>0.0</v>
      </c>
      <c r="AP8" s="7">
        <v>6.0</v>
      </c>
      <c r="AQ8" s="7">
        <v>4.0</v>
      </c>
      <c r="AR8" s="7">
        <f>11/5</f>
        <v>2.2</v>
      </c>
      <c r="AS8" s="7">
        <v>0.5</v>
      </c>
      <c r="AT8" s="7">
        <f>25/4</f>
        <v>6.25</v>
      </c>
      <c r="AU8" s="4">
        <v>0.0</v>
      </c>
      <c r="AV8" s="7">
        <v>0.3</v>
      </c>
      <c r="AW8" s="7">
        <f t="shared" si="18"/>
        <v>0.25</v>
      </c>
      <c r="AX8" s="4">
        <v>0.0</v>
      </c>
      <c r="AY8" s="4">
        <v>0.0</v>
      </c>
      <c r="AZ8" s="7">
        <v>0.09090909091</v>
      </c>
      <c r="BA8" s="7">
        <f>22/3</f>
        <v>7.333333333</v>
      </c>
      <c r="BB8" s="7">
        <v>0.75</v>
      </c>
      <c r="BC8" s="4">
        <v>0.0</v>
      </c>
      <c r="BD8" s="7">
        <v>0.0</v>
      </c>
      <c r="BE8" s="7">
        <f>1/11</f>
        <v>0.09090909091</v>
      </c>
      <c r="BF8" s="4">
        <v>0.0</v>
      </c>
      <c r="BG8" s="4">
        <v>0.0</v>
      </c>
      <c r="BH8" s="5">
        <f t="shared" si="19"/>
        <v>0.375</v>
      </c>
    </row>
    <row r="9">
      <c r="A9" s="4" t="s">
        <v>21</v>
      </c>
      <c r="B9" s="16">
        <f t="shared" si="1"/>
        <v>297.6707071</v>
      </c>
      <c r="C9" s="6">
        <f>VLOOKUP(A9,'2025 недельный зачет'!$A:$B,2,FALSE)</f>
        <v>102</v>
      </c>
      <c r="D9" s="6">
        <f>HLOOKUP(A9,'2025 все бани'!$1:$5,5,FALSE)</f>
        <v>36</v>
      </c>
      <c r="E9" s="6">
        <f>HLOOKUP(A9,'2025 все бани'!$1:$5,4,FALSE)</f>
        <v>23</v>
      </c>
      <c r="F9" s="6">
        <f>HLOOKUP(A9,'2025 все бани'!$1:$5,3,FALSE)</f>
        <v>24</v>
      </c>
      <c r="G9" s="6">
        <f>HLOOKUP(A9,'2025 все бани'!$1:$5,2,FALSE)</f>
        <v>13</v>
      </c>
      <c r="H9" s="7">
        <v>0.125</v>
      </c>
      <c r="I9" s="4">
        <v>6.0</v>
      </c>
      <c r="J9" s="4">
        <v>6.0</v>
      </c>
      <c r="K9" s="4">
        <f>3/5</f>
        <v>0.6</v>
      </c>
      <c r="L9" s="7">
        <v>7.0</v>
      </c>
      <c r="M9" s="7">
        <v>0.1666666667</v>
      </c>
      <c r="N9" s="4">
        <v>0.0</v>
      </c>
      <c r="O9" s="4">
        <v>0.0</v>
      </c>
      <c r="P9" s="4">
        <v>0.0</v>
      </c>
      <c r="Q9" s="7">
        <v>6.0</v>
      </c>
      <c r="R9" s="7">
        <f>11/4</f>
        <v>2.75</v>
      </c>
      <c r="S9" s="4">
        <v>0.0</v>
      </c>
      <c r="T9" s="4">
        <v>0.0</v>
      </c>
      <c r="U9" s="4">
        <v>0.0</v>
      </c>
      <c r="V9" s="7">
        <v>1.222222222</v>
      </c>
      <c r="W9" s="4">
        <v>0.0</v>
      </c>
      <c r="X9" s="4">
        <v>2.5</v>
      </c>
      <c r="Y9" s="4">
        <v>1.0</v>
      </c>
      <c r="Z9" s="4">
        <v>3.0</v>
      </c>
      <c r="AA9" s="4">
        <v>0.0</v>
      </c>
      <c r="AB9" s="4">
        <v>0.0</v>
      </c>
      <c r="AC9" s="4">
        <v>0.0</v>
      </c>
      <c r="AD9" s="4">
        <v>0.0</v>
      </c>
      <c r="AE9" s="4">
        <v>0.0</v>
      </c>
      <c r="AF9" s="4">
        <v>0.0</v>
      </c>
      <c r="AG9" s="4">
        <v>0.0</v>
      </c>
      <c r="AH9" s="4">
        <v>0.0</v>
      </c>
      <c r="AI9" s="7">
        <f>18/6</f>
        <v>3</v>
      </c>
      <c r="AJ9" s="4">
        <v>0.0</v>
      </c>
      <c r="AK9" s="7">
        <f t="shared" ref="AK9:AK10" si="20">1/11</f>
        <v>0.09090909091</v>
      </c>
      <c r="AL9" s="7">
        <v>0.75</v>
      </c>
      <c r="AM9" s="4">
        <v>0.0</v>
      </c>
      <c r="AN9" s="4">
        <v>0.0</v>
      </c>
      <c r="AO9" s="4">
        <v>0.0</v>
      </c>
      <c r="AP9" s="4">
        <v>0.0</v>
      </c>
      <c r="AQ9" s="4">
        <v>7.0</v>
      </c>
      <c r="AR9" s="4">
        <v>0.0</v>
      </c>
      <c r="AS9" s="4">
        <v>0.0</v>
      </c>
      <c r="AT9" s="4">
        <v>0.0</v>
      </c>
      <c r="AU9" s="4">
        <v>0.0</v>
      </c>
      <c r="AV9" s="4">
        <v>0.0</v>
      </c>
      <c r="AW9" s="4">
        <v>0.0</v>
      </c>
      <c r="AX9" s="7">
        <v>1.5</v>
      </c>
      <c r="AY9" s="7">
        <v>8.5</v>
      </c>
      <c r="AZ9" s="7">
        <v>0.09090909091</v>
      </c>
      <c r="BA9" s="7">
        <v>1.5</v>
      </c>
      <c r="BB9" s="7">
        <v>5.0</v>
      </c>
      <c r="BC9" s="7">
        <f>17/4</f>
        <v>4.25</v>
      </c>
      <c r="BD9" s="7">
        <f>25/4</f>
        <v>6.25</v>
      </c>
      <c r="BE9" s="7">
        <v>10.0</v>
      </c>
      <c r="BF9" s="7">
        <v>5.0</v>
      </c>
      <c r="BG9" s="7">
        <v>10.0</v>
      </c>
      <c r="BH9" s="5">
        <f t="shared" si="19"/>
        <v>0.375</v>
      </c>
    </row>
    <row r="10">
      <c r="A10" s="4" t="s">
        <v>25</v>
      </c>
      <c r="B10" s="16">
        <f t="shared" si="1"/>
        <v>267.5405844</v>
      </c>
      <c r="C10" s="6">
        <f>VLOOKUP(A10,'2025 недельный зачет'!$A:$B,2,FALSE)</f>
        <v>71</v>
      </c>
      <c r="D10" s="6">
        <f>HLOOKUP(A10,'2025 все бани'!$1:$5,5,FALSE)</f>
        <v>34</v>
      </c>
      <c r="E10" s="6">
        <f>HLOOKUP(A10,'2025 все бани'!$1:$5,4,FALSE)</f>
        <v>6</v>
      </c>
      <c r="F10" s="6">
        <f>HLOOKUP(A10,'2025 все бани'!$1:$5,3,FALSE)</f>
        <v>59</v>
      </c>
      <c r="G10" s="6">
        <f>HLOOKUP(A10,'2025 все бани'!$1:$5,2,FALSE)</f>
        <v>39</v>
      </c>
      <c r="H10" s="7">
        <v>0.125</v>
      </c>
      <c r="I10" s="7">
        <f>1/6</f>
        <v>0.1666666667</v>
      </c>
      <c r="J10" s="4">
        <v>0.0</v>
      </c>
      <c r="K10" s="4">
        <v>0.0</v>
      </c>
      <c r="L10" s="4">
        <v>0.0</v>
      </c>
      <c r="M10" s="4">
        <v>2.5</v>
      </c>
      <c r="N10" s="4">
        <f t="shared" ref="N10:N11" si="21">6/10</f>
        <v>0.6</v>
      </c>
      <c r="O10" s="7">
        <v>6.0</v>
      </c>
      <c r="P10" s="7">
        <f>1/7</f>
        <v>0.1428571429</v>
      </c>
      <c r="Q10" s="7">
        <v>1.666666667</v>
      </c>
      <c r="R10" s="7">
        <v>8.5</v>
      </c>
      <c r="S10" s="4">
        <v>0.0</v>
      </c>
      <c r="T10" s="4">
        <v>0.0</v>
      </c>
      <c r="U10" s="7">
        <f>11/6</f>
        <v>1.833333333</v>
      </c>
      <c r="V10" s="7">
        <v>1.222222222</v>
      </c>
      <c r="W10" s="7">
        <v>5.0</v>
      </c>
      <c r="X10" s="7">
        <f>1/9</f>
        <v>0.1111111111</v>
      </c>
      <c r="Y10" s="4">
        <v>0.0</v>
      </c>
      <c r="Z10" s="4">
        <v>0.0</v>
      </c>
      <c r="AA10" s="4">
        <v>0.0</v>
      </c>
      <c r="AB10" s="4">
        <v>1.5</v>
      </c>
      <c r="AC10" s="4">
        <v>0.0</v>
      </c>
      <c r="AD10" s="4">
        <v>0.5</v>
      </c>
      <c r="AE10" s="4">
        <v>0.0</v>
      </c>
      <c r="AF10" s="7">
        <v>2.2</v>
      </c>
      <c r="AG10" s="4">
        <v>0.0</v>
      </c>
      <c r="AH10" s="7">
        <v>0.5</v>
      </c>
      <c r="AI10" s="4">
        <v>0.0</v>
      </c>
      <c r="AJ10" s="7">
        <v>8.5</v>
      </c>
      <c r="AK10" s="7">
        <f t="shared" si="20"/>
        <v>0.09090909091</v>
      </c>
      <c r="AL10" s="7">
        <v>0.0</v>
      </c>
      <c r="AM10" s="7">
        <f>1/3</f>
        <v>0.3333333333</v>
      </c>
      <c r="AN10" s="4">
        <v>0.0</v>
      </c>
      <c r="AO10" s="4">
        <v>0.0</v>
      </c>
      <c r="AP10" s="7">
        <v>2.0</v>
      </c>
      <c r="AQ10" s="4">
        <v>0.0</v>
      </c>
      <c r="AR10" s="7">
        <f>11/5</f>
        <v>2.2</v>
      </c>
      <c r="AS10" s="7">
        <v>0.5</v>
      </c>
      <c r="AT10" s="7">
        <f>1/6</f>
        <v>0.1666666667</v>
      </c>
      <c r="AU10" s="4">
        <v>2.0</v>
      </c>
      <c r="AV10" s="4">
        <v>4.0</v>
      </c>
      <c r="AW10" s="4">
        <v>6.0</v>
      </c>
      <c r="AX10" s="4">
        <v>0.0</v>
      </c>
      <c r="AY10" s="4">
        <v>0.0</v>
      </c>
      <c r="AZ10" s="7">
        <v>0.09090909091</v>
      </c>
      <c r="BA10" s="4">
        <v>0.0</v>
      </c>
      <c r="BB10" s="4">
        <v>0.0</v>
      </c>
      <c r="BC10" s="4">
        <v>0.0</v>
      </c>
      <c r="BD10" s="7">
        <v>0.0</v>
      </c>
      <c r="BE10" s="7">
        <f t="shared" ref="BE10:BE12" si="22">1/11</f>
        <v>0.09090909091</v>
      </c>
      <c r="BF10" s="4">
        <v>0.0</v>
      </c>
      <c r="BG10" s="4">
        <v>0.0</v>
      </c>
      <c r="BH10" s="4">
        <v>0.0</v>
      </c>
    </row>
    <row r="11">
      <c r="A11" s="4" t="s">
        <v>22</v>
      </c>
      <c r="B11" s="16">
        <f t="shared" si="1"/>
        <v>266.954798</v>
      </c>
      <c r="C11" s="6">
        <f>VLOOKUP(A11,'2025 недельный зачет'!$A:$B,2,FALSE)</f>
        <v>71</v>
      </c>
      <c r="D11" s="6">
        <f>HLOOKUP(A11,'2025 все бани'!$1:$5,5,FALSE)</f>
        <v>47</v>
      </c>
      <c r="E11" s="6">
        <f>HLOOKUP(A11,'2025 все бани'!$1:$5,4,FALSE)</f>
        <v>23</v>
      </c>
      <c r="F11" s="6">
        <f>HLOOKUP(A11,'2025 все бани'!$1:$5,3,FALSE)</f>
        <v>23</v>
      </c>
      <c r="G11" s="6">
        <f>HLOOKUP(A11,'2025 все бани'!$1:$5,2,FALSE)</f>
        <v>20</v>
      </c>
      <c r="H11" s="7">
        <v>0.125</v>
      </c>
      <c r="I11" s="4">
        <v>6.0</v>
      </c>
      <c r="J11" s="4">
        <v>0.0</v>
      </c>
      <c r="K11" s="4">
        <v>0.0</v>
      </c>
      <c r="L11" s="4">
        <v>0.0</v>
      </c>
      <c r="M11" s="7">
        <v>0.1666666667</v>
      </c>
      <c r="N11" s="4">
        <f t="shared" si="21"/>
        <v>0.6</v>
      </c>
      <c r="O11" s="4">
        <v>0.0</v>
      </c>
      <c r="P11" s="7">
        <f>10/3</f>
        <v>3.333333333</v>
      </c>
      <c r="Q11" s="4">
        <v>0.0</v>
      </c>
      <c r="R11" s="4">
        <v>0.0</v>
      </c>
      <c r="S11" s="4">
        <v>0.0</v>
      </c>
      <c r="T11" s="4">
        <v>0.0</v>
      </c>
      <c r="U11" s="4">
        <v>0.0</v>
      </c>
      <c r="V11" s="7">
        <v>1.222222222</v>
      </c>
      <c r="W11" s="4">
        <v>0.0</v>
      </c>
      <c r="X11" s="4">
        <v>0.0</v>
      </c>
      <c r="Y11" s="4">
        <v>1.0</v>
      </c>
      <c r="Z11" s="7">
        <v>8.5</v>
      </c>
      <c r="AA11" s="7">
        <f>22/3</f>
        <v>7.333333333</v>
      </c>
      <c r="AB11" s="7">
        <v>8.5</v>
      </c>
      <c r="AC11" s="7">
        <v>7.0</v>
      </c>
      <c r="AD11" s="7">
        <f t="shared" ref="AD11:AD12" si="23">25/4</f>
        <v>6.25</v>
      </c>
      <c r="AE11" s="7">
        <f>11/4</f>
        <v>2.75</v>
      </c>
      <c r="AF11" s="4">
        <v>0.0</v>
      </c>
      <c r="AG11" s="4">
        <v>0.0</v>
      </c>
      <c r="AH11" s="4">
        <v>0.0</v>
      </c>
      <c r="AI11" s="4">
        <v>0.0</v>
      </c>
      <c r="AJ11" s="4">
        <v>0.0</v>
      </c>
      <c r="AK11" s="4">
        <v>0.0</v>
      </c>
      <c r="AL11" s="4">
        <v>0.0</v>
      </c>
      <c r="AM11" s="4">
        <v>0.0</v>
      </c>
      <c r="AN11" s="4">
        <v>0.0</v>
      </c>
      <c r="AO11" s="7">
        <f>22/3</f>
        <v>7.333333333</v>
      </c>
      <c r="AP11" s="4">
        <v>0.0</v>
      </c>
      <c r="AQ11" s="4">
        <v>0.0</v>
      </c>
      <c r="AR11" s="4">
        <v>0.0</v>
      </c>
      <c r="AS11" s="7">
        <v>0.5</v>
      </c>
      <c r="AT11" s="4">
        <v>0.0</v>
      </c>
      <c r="AU11" s="4">
        <v>0.0</v>
      </c>
      <c r="AV11" s="4">
        <v>0.0</v>
      </c>
      <c r="AW11" s="4">
        <v>0.0</v>
      </c>
      <c r="AX11" s="4">
        <v>0.0</v>
      </c>
      <c r="AY11" s="7">
        <v>8.5</v>
      </c>
      <c r="AZ11" s="4">
        <v>0.0</v>
      </c>
      <c r="BA11" s="4">
        <v>0.0</v>
      </c>
      <c r="BB11" s="4">
        <v>0.0</v>
      </c>
      <c r="BC11" s="4">
        <v>0.0</v>
      </c>
      <c r="BD11" s="7">
        <v>1.5</v>
      </c>
      <c r="BE11" s="7">
        <f t="shared" si="22"/>
        <v>0.09090909091</v>
      </c>
      <c r="BF11" s="4">
        <v>0.0</v>
      </c>
      <c r="BG11" s="7">
        <v>6.0</v>
      </c>
      <c r="BH11" s="5">
        <f>25/4</f>
        <v>6.25</v>
      </c>
    </row>
    <row r="12">
      <c r="A12" s="4" t="s">
        <v>31</v>
      </c>
      <c r="B12" s="16">
        <f t="shared" si="1"/>
        <v>231.6532828</v>
      </c>
      <c r="C12" s="6">
        <f>VLOOKUP(A12,'2025 недельный зачет'!$A:$B,2,FALSE)</f>
        <v>64</v>
      </c>
      <c r="D12" s="6">
        <f>HLOOKUP(A12,'2025 все бани'!$1:$5,5,FALSE)</f>
        <v>24</v>
      </c>
      <c r="E12" s="6">
        <f>HLOOKUP(A12,'2025 все бани'!$1:$5,4,FALSE)</f>
        <v>11</v>
      </c>
      <c r="F12" s="6">
        <f>HLOOKUP(A12,'2025 все бани'!$1:$5,3,FALSE)</f>
        <v>55</v>
      </c>
      <c r="G12" s="6">
        <f>HLOOKUP(A12,'2025 все бани'!$1:$5,2,FALSE)</f>
        <v>23</v>
      </c>
      <c r="H12" s="7">
        <v>0.0</v>
      </c>
      <c r="I12" s="7">
        <f>1/6</f>
        <v>0.1666666667</v>
      </c>
      <c r="J12" s="4">
        <v>0.0</v>
      </c>
      <c r="K12" s="4">
        <v>0.0</v>
      </c>
      <c r="L12" s="4">
        <v>0.0</v>
      </c>
      <c r="M12" s="7">
        <v>0.1666666667</v>
      </c>
      <c r="N12" s="7">
        <v>6.0</v>
      </c>
      <c r="O12" s="7">
        <f t="shared" ref="O12:O13" si="24">6/8</f>
        <v>0.75</v>
      </c>
      <c r="P12" s="4">
        <v>0.0</v>
      </c>
      <c r="Q12" s="7">
        <v>0.0</v>
      </c>
      <c r="R12" s="7">
        <f>11/4</f>
        <v>2.75</v>
      </c>
      <c r="S12" s="4">
        <v>0.0</v>
      </c>
      <c r="T12" s="4">
        <v>0.0</v>
      </c>
      <c r="U12" s="4">
        <v>0.0</v>
      </c>
      <c r="V12" s="7">
        <v>1.222222222</v>
      </c>
      <c r="W12" s="7">
        <v>0.5</v>
      </c>
      <c r="X12" s="7">
        <f>22/3</f>
        <v>7.333333333</v>
      </c>
      <c r="Y12" s="4">
        <v>1.0</v>
      </c>
      <c r="Z12" s="4">
        <v>0.0</v>
      </c>
      <c r="AA12" s="4">
        <v>2.0</v>
      </c>
      <c r="AB12" s="4">
        <v>0.0</v>
      </c>
      <c r="AC12" s="7">
        <f t="shared" ref="AC12:AC14" si="25">11/4</f>
        <v>2.75</v>
      </c>
      <c r="AD12" s="7">
        <f t="shared" si="23"/>
        <v>6.25</v>
      </c>
      <c r="AE12" s="4">
        <v>0.0</v>
      </c>
      <c r="AF12" s="7">
        <v>2.2</v>
      </c>
      <c r="AG12" s="7">
        <v>6.0</v>
      </c>
      <c r="AH12" s="7">
        <v>0.5</v>
      </c>
      <c r="AI12" s="4">
        <v>0.0</v>
      </c>
      <c r="AJ12" s="4">
        <v>0.0</v>
      </c>
      <c r="AK12" s="7">
        <f>1/11</f>
        <v>0.09090909091</v>
      </c>
      <c r="AL12" s="7">
        <v>0.75</v>
      </c>
      <c r="AM12" s="4">
        <v>0.0</v>
      </c>
      <c r="AN12" s="4">
        <v>0.0</v>
      </c>
      <c r="AO12" s="7">
        <f t="shared" ref="AO12:AO13" si="26">6/5</f>
        <v>1.2</v>
      </c>
      <c r="AP12" s="4">
        <v>0.0</v>
      </c>
      <c r="AQ12" s="4">
        <v>0.0</v>
      </c>
      <c r="AR12" s="4">
        <v>0.0</v>
      </c>
      <c r="AS12" s="7">
        <v>4.0</v>
      </c>
      <c r="AT12" s="7">
        <f t="shared" ref="AT12:AT15" si="27">1/6</f>
        <v>0.1666666667</v>
      </c>
      <c r="AU12" s="4">
        <v>0.0</v>
      </c>
      <c r="AV12" s="7">
        <v>0.3</v>
      </c>
      <c r="AW12" s="4">
        <v>0.0</v>
      </c>
      <c r="AX12" s="4">
        <v>0.0</v>
      </c>
      <c r="AY12" s="4">
        <v>0.0</v>
      </c>
      <c r="AZ12" s="7">
        <v>0.09090909091</v>
      </c>
      <c r="BA12" s="7">
        <v>1.5</v>
      </c>
      <c r="BB12" s="4">
        <v>0.0</v>
      </c>
      <c r="BC12" s="4">
        <v>0.0</v>
      </c>
      <c r="BD12" s="7">
        <v>1.5</v>
      </c>
      <c r="BE12" s="7">
        <f t="shared" si="22"/>
        <v>0.09090909091</v>
      </c>
      <c r="BF12" s="4">
        <v>5.0</v>
      </c>
      <c r="BG12" s="4">
        <v>0.0</v>
      </c>
      <c r="BH12" s="5">
        <f t="shared" ref="BH12:BH16" si="28">3/8</f>
        <v>0.375</v>
      </c>
    </row>
    <row r="13">
      <c r="A13" s="4" t="s">
        <v>30</v>
      </c>
      <c r="B13" s="16">
        <f t="shared" si="1"/>
        <v>213.5254329</v>
      </c>
      <c r="C13" s="6">
        <f>VLOOKUP(A13,'2025 недельный зачет'!$A:$B,2,FALSE)</f>
        <v>63</v>
      </c>
      <c r="D13" s="6">
        <f>HLOOKUP(A13,'2025 все бани'!$1:$5,5,FALSE)</f>
        <v>31</v>
      </c>
      <c r="E13" s="6">
        <f>HLOOKUP(A13,'2025 все бани'!$1:$5,4,FALSE)</f>
        <v>20</v>
      </c>
      <c r="F13" s="6">
        <f>HLOOKUP(A13,'2025 все бани'!$1:$5,3,FALSE)</f>
        <v>41</v>
      </c>
      <c r="G13" s="6">
        <f>HLOOKUP(A13,'2025 все бани'!$1:$5,2,FALSE)</f>
        <v>4</v>
      </c>
      <c r="H13" s="4">
        <v>0.0</v>
      </c>
      <c r="I13" s="4">
        <v>10.0</v>
      </c>
      <c r="J13" s="4">
        <v>0.0</v>
      </c>
      <c r="K13" s="4">
        <v>0.0</v>
      </c>
      <c r="L13" s="7">
        <v>2.0</v>
      </c>
      <c r="M13" s="4">
        <v>0.0</v>
      </c>
      <c r="N13" s="4">
        <v>0.0</v>
      </c>
      <c r="O13" s="7">
        <f t="shared" si="24"/>
        <v>0.75</v>
      </c>
      <c r="P13" s="7">
        <f t="shared" ref="P13:P14" si="29">1/7</f>
        <v>0.1428571429</v>
      </c>
      <c r="Q13" s="7">
        <v>1.666666667</v>
      </c>
      <c r="R13" s="4">
        <v>0.0</v>
      </c>
      <c r="S13" s="4">
        <f>18/5</f>
        <v>3.6</v>
      </c>
      <c r="T13" s="4">
        <v>1.5</v>
      </c>
      <c r="U13" s="4">
        <v>0.0</v>
      </c>
      <c r="V13" s="4">
        <v>0.0</v>
      </c>
      <c r="W13" s="4">
        <v>0.0</v>
      </c>
      <c r="X13" s="4">
        <v>0.0</v>
      </c>
      <c r="Y13" s="4">
        <v>1.0</v>
      </c>
      <c r="Z13" s="4">
        <v>0.0</v>
      </c>
      <c r="AA13" s="4">
        <v>0.0</v>
      </c>
      <c r="AB13" s="4">
        <v>0.0</v>
      </c>
      <c r="AC13" s="7">
        <f t="shared" si="25"/>
        <v>2.75</v>
      </c>
      <c r="AD13" s="4">
        <v>0.0</v>
      </c>
      <c r="AE13" s="4">
        <v>0.0</v>
      </c>
      <c r="AF13" s="4">
        <v>0.0</v>
      </c>
      <c r="AG13" s="4">
        <v>0.0</v>
      </c>
      <c r="AH13" s="4">
        <v>0.0</v>
      </c>
      <c r="AI13" s="4">
        <v>0.0</v>
      </c>
      <c r="AJ13" s="4">
        <v>0.0</v>
      </c>
      <c r="AK13" s="7">
        <f>10/3</f>
        <v>3.333333333</v>
      </c>
      <c r="AL13" s="7">
        <v>0.75</v>
      </c>
      <c r="AM13" s="7">
        <v>5.0</v>
      </c>
      <c r="AN13" s="4">
        <v>0.0</v>
      </c>
      <c r="AO13" s="7">
        <f t="shared" si="26"/>
        <v>1.2</v>
      </c>
      <c r="AP13" s="4">
        <v>0.0</v>
      </c>
      <c r="AQ13" s="7">
        <f t="shared" ref="AQ13:AQ15" si="30">1/6</f>
        <v>0.1666666667</v>
      </c>
      <c r="AR13" s="4">
        <v>0.0</v>
      </c>
      <c r="AS13" s="4">
        <v>0.0</v>
      </c>
      <c r="AT13" s="7">
        <f t="shared" si="27"/>
        <v>0.1666666667</v>
      </c>
      <c r="AU13" s="4">
        <v>0.0</v>
      </c>
      <c r="AV13" s="4">
        <v>0.0</v>
      </c>
      <c r="AW13" s="7">
        <v>10.0</v>
      </c>
      <c r="AX13" s="7">
        <f>22/3</f>
        <v>7.333333333</v>
      </c>
      <c r="AY13" s="7">
        <f>11/5</f>
        <v>2.2</v>
      </c>
      <c r="AZ13" s="7">
        <v>0.09090909091</v>
      </c>
      <c r="BA13" s="4">
        <v>0.0</v>
      </c>
      <c r="BB13" s="4">
        <v>0.0</v>
      </c>
      <c r="BC13" s="7">
        <v>0.5</v>
      </c>
      <c r="BD13" s="7">
        <v>0.0</v>
      </c>
      <c r="BE13" s="4">
        <v>0.0</v>
      </c>
      <c r="BF13" s="4">
        <v>0.0</v>
      </c>
      <c r="BG13" s="4">
        <v>0.0</v>
      </c>
      <c r="BH13" s="5">
        <f t="shared" si="28"/>
        <v>0.375</v>
      </c>
    </row>
    <row r="14">
      <c r="A14" s="4" t="s">
        <v>35</v>
      </c>
      <c r="B14" s="16">
        <f t="shared" si="1"/>
        <v>199.7489177</v>
      </c>
      <c r="C14" s="6">
        <f>VLOOKUP(A14,'2025 недельный зачет'!$A:$B,2,FALSE)</f>
        <v>54</v>
      </c>
      <c r="D14" s="6">
        <f>HLOOKUP(A14,'2025 все бани'!$1:$5,5,FALSE)</f>
        <v>30</v>
      </c>
      <c r="E14" s="6">
        <f>HLOOKUP(A14,'2025 все бани'!$1:$5,4,FALSE)</f>
        <v>8</v>
      </c>
      <c r="F14" s="6">
        <f>HLOOKUP(A14,'2025 все бани'!$1:$5,3,FALSE)</f>
        <v>35</v>
      </c>
      <c r="G14" s="6">
        <f>HLOOKUP(A14,'2025 все бани'!$1:$5,2,FALSE)</f>
        <v>38</v>
      </c>
      <c r="H14" s="7">
        <v>0.125</v>
      </c>
      <c r="I14" s="4">
        <v>0.0</v>
      </c>
      <c r="J14" s="4">
        <v>0.0</v>
      </c>
      <c r="K14" s="4">
        <v>0.0</v>
      </c>
      <c r="L14" s="4">
        <v>0.0</v>
      </c>
      <c r="M14" s="4">
        <v>0.0</v>
      </c>
      <c r="N14" s="4">
        <v>0.0</v>
      </c>
      <c r="O14" s="4">
        <v>0.0</v>
      </c>
      <c r="P14" s="7">
        <f t="shared" si="29"/>
        <v>0.1428571429</v>
      </c>
      <c r="Q14" s="4">
        <v>0.0</v>
      </c>
      <c r="R14" s="4">
        <v>0.0</v>
      </c>
      <c r="S14" s="4">
        <v>0.0</v>
      </c>
      <c r="T14" s="4">
        <v>0.0</v>
      </c>
      <c r="U14" s="4">
        <v>0.0</v>
      </c>
      <c r="V14" s="4">
        <v>0.0</v>
      </c>
      <c r="W14" s="7">
        <v>0.5</v>
      </c>
      <c r="X14" s="4">
        <v>0.0</v>
      </c>
      <c r="Y14" s="4">
        <v>0.0</v>
      </c>
      <c r="Z14" s="4">
        <v>0.0</v>
      </c>
      <c r="AA14" s="4">
        <v>0.0</v>
      </c>
      <c r="AB14" s="7">
        <v>8.5</v>
      </c>
      <c r="AC14" s="7">
        <f t="shared" si="25"/>
        <v>2.75</v>
      </c>
      <c r="AD14" s="4">
        <v>0.5</v>
      </c>
      <c r="AE14" s="7">
        <f>11/4</f>
        <v>2.75</v>
      </c>
      <c r="AF14" s="4">
        <v>0.0</v>
      </c>
      <c r="AG14" s="7">
        <v>6.0</v>
      </c>
      <c r="AH14" s="7">
        <v>0.5</v>
      </c>
      <c r="AI14" s="4">
        <v>0.0</v>
      </c>
      <c r="AJ14" s="4">
        <v>0.0</v>
      </c>
      <c r="AK14" s="7">
        <f t="shared" ref="AK14:AK15" si="31">1/11</f>
        <v>0.09090909091</v>
      </c>
      <c r="AL14" s="4">
        <v>0.0</v>
      </c>
      <c r="AM14" s="4">
        <v>2.0</v>
      </c>
      <c r="AN14" s="4">
        <v>7.0</v>
      </c>
      <c r="AO14" s="4">
        <v>0.0</v>
      </c>
      <c r="AP14" s="7">
        <v>2.0</v>
      </c>
      <c r="AQ14" s="7">
        <f t="shared" si="30"/>
        <v>0.1666666667</v>
      </c>
      <c r="AR14" s="4">
        <v>0.0</v>
      </c>
      <c r="AS14" s="4">
        <v>0.0</v>
      </c>
      <c r="AT14" s="7">
        <f t="shared" si="27"/>
        <v>0.1666666667</v>
      </c>
      <c r="AU14" s="4">
        <v>0.0</v>
      </c>
      <c r="AV14" s="4">
        <v>0.0</v>
      </c>
      <c r="AW14" s="4">
        <v>0.0</v>
      </c>
      <c r="AX14" s="4">
        <v>0.0</v>
      </c>
      <c r="AY14" s="4">
        <v>0.0</v>
      </c>
      <c r="AZ14" s="7">
        <v>0.09090909091</v>
      </c>
      <c r="BA14" s="4">
        <v>0.0</v>
      </c>
      <c r="BB14" s="4">
        <v>0.0</v>
      </c>
      <c r="BC14" s="4">
        <v>0.0</v>
      </c>
      <c r="BD14" s="7">
        <v>0.0</v>
      </c>
      <c r="BE14" s="7">
        <f t="shared" ref="BE14:BE15" si="32">1/11</f>
        <v>0.09090909091</v>
      </c>
      <c r="BF14" s="4">
        <v>0.0</v>
      </c>
      <c r="BG14" s="7">
        <v>1.0</v>
      </c>
      <c r="BH14" s="5">
        <f t="shared" si="28"/>
        <v>0.375</v>
      </c>
    </row>
    <row r="15">
      <c r="A15" s="4" t="s">
        <v>32</v>
      </c>
      <c r="B15" s="16">
        <f t="shared" si="1"/>
        <v>162.6755051</v>
      </c>
      <c r="C15" s="6">
        <f>VLOOKUP(A15,'2025 недельный зачет'!$A:$B,2,FALSE)</f>
        <v>65</v>
      </c>
      <c r="D15" s="6">
        <f>HLOOKUP(A15,'2025 все бани'!$1:$5,5,FALSE)</f>
        <v>15</v>
      </c>
      <c r="E15" s="6">
        <f>HLOOKUP(A15,'2025 все бани'!$1:$5,4,FALSE)</f>
        <v>4</v>
      </c>
      <c r="F15" s="6">
        <f>HLOOKUP(A15,'2025 все бани'!$1:$5,3,FALSE)</f>
        <v>14</v>
      </c>
      <c r="G15" s="6">
        <f>HLOOKUP(A15,'2025 все бани'!$1:$5,2,FALSE)</f>
        <v>23</v>
      </c>
      <c r="H15" s="4">
        <v>0.0</v>
      </c>
      <c r="I15" s="4">
        <v>0.0</v>
      </c>
      <c r="J15" s="4">
        <v>0.0</v>
      </c>
      <c r="K15" s="4">
        <v>0.0</v>
      </c>
      <c r="L15" s="4">
        <v>0.0</v>
      </c>
      <c r="M15" s="7">
        <v>0.0</v>
      </c>
      <c r="N15" s="7">
        <v>6.0</v>
      </c>
      <c r="O15" s="7">
        <f t="shared" ref="O15:O16" si="33">6/8</f>
        <v>0.75</v>
      </c>
      <c r="P15" s="7">
        <f>10/3</f>
        <v>3.333333333</v>
      </c>
      <c r="Q15" s="4">
        <v>0.0</v>
      </c>
      <c r="R15" s="7">
        <f>11/4</f>
        <v>2.75</v>
      </c>
      <c r="S15" s="4">
        <f>18/5</f>
        <v>3.6</v>
      </c>
      <c r="T15" s="4">
        <v>0.0</v>
      </c>
      <c r="U15" s="4">
        <v>0.0</v>
      </c>
      <c r="V15" s="4">
        <v>0.0</v>
      </c>
      <c r="W15" s="4">
        <v>0.0</v>
      </c>
      <c r="X15" s="7">
        <f>1/9</f>
        <v>0.1111111111</v>
      </c>
      <c r="Y15" s="4">
        <v>1.0</v>
      </c>
      <c r="Z15" s="4">
        <v>0.0</v>
      </c>
      <c r="AA15" s="4">
        <v>0.0</v>
      </c>
      <c r="AB15" s="4">
        <v>0.0</v>
      </c>
      <c r="AC15" s="4">
        <v>0.0</v>
      </c>
      <c r="AD15" s="7">
        <f>25/4</f>
        <v>6.25</v>
      </c>
      <c r="AE15" s="4">
        <v>0.0</v>
      </c>
      <c r="AF15" s="4">
        <v>0.0</v>
      </c>
      <c r="AG15" s="4">
        <v>0.0</v>
      </c>
      <c r="AH15" s="7">
        <v>0.5</v>
      </c>
      <c r="AI15" s="4">
        <v>0.0</v>
      </c>
      <c r="AJ15" s="4">
        <v>0.0</v>
      </c>
      <c r="AK15" s="7">
        <f t="shared" si="31"/>
        <v>0.09090909091</v>
      </c>
      <c r="AL15" s="4">
        <v>0.0</v>
      </c>
      <c r="AM15" s="4">
        <v>0.0</v>
      </c>
      <c r="AN15" s="7">
        <f t="shared" ref="AN15:AN16" si="34">11/4</f>
        <v>2.75</v>
      </c>
      <c r="AO15" s="7">
        <f>6/5</f>
        <v>1.2</v>
      </c>
      <c r="AP15" s="4">
        <v>0.0</v>
      </c>
      <c r="AQ15" s="7">
        <f t="shared" si="30"/>
        <v>0.1666666667</v>
      </c>
      <c r="AR15" s="7">
        <f>11/5</f>
        <v>2.2</v>
      </c>
      <c r="AS15" s="7">
        <v>0.5</v>
      </c>
      <c r="AT15" s="7">
        <f t="shared" si="27"/>
        <v>0.1666666667</v>
      </c>
      <c r="AU15" s="7">
        <v>2.0</v>
      </c>
      <c r="AV15" s="7">
        <v>0.3</v>
      </c>
      <c r="AW15" s="4">
        <v>0.0</v>
      </c>
      <c r="AX15" s="7">
        <v>1.5</v>
      </c>
      <c r="AY15" s="7">
        <f t="shared" ref="AY15:AY16" si="35">11/5</f>
        <v>2.2</v>
      </c>
      <c r="AZ15" s="7">
        <v>0.09090909091</v>
      </c>
      <c r="BA15" s="7">
        <v>1.5</v>
      </c>
      <c r="BB15" s="7">
        <v>0.75</v>
      </c>
      <c r="BC15" s="4">
        <v>0.0</v>
      </c>
      <c r="BD15" s="7">
        <v>0.0</v>
      </c>
      <c r="BE15" s="7">
        <f t="shared" si="32"/>
        <v>0.09090909091</v>
      </c>
      <c r="BF15" s="4">
        <v>1.5</v>
      </c>
      <c r="BG15" s="4">
        <v>0.0</v>
      </c>
      <c r="BH15" s="5">
        <f t="shared" si="28"/>
        <v>0.375</v>
      </c>
    </row>
    <row r="16">
      <c r="A16" s="4" t="s">
        <v>46</v>
      </c>
      <c r="B16" s="16">
        <f t="shared" si="1"/>
        <v>153.2492424</v>
      </c>
      <c r="C16" s="6">
        <f>VLOOKUP(A16,'2025 недельный зачет'!$A:$B,2,FALSE)</f>
        <v>48</v>
      </c>
      <c r="D16" s="6">
        <f>HLOOKUP(A16,'2025 все бани'!$1:$5,5,FALSE)</f>
        <v>23</v>
      </c>
      <c r="E16" s="6">
        <f>HLOOKUP(A16,'2025 все бани'!$1:$5,4,FALSE)</f>
        <v>10</v>
      </c>
      <c r="F16" s="6">
        <f>HLOOKUP(A16,'2025 все бани'!$1:$5,3,FALSE)</f>
        <v>27</v>
      </c>
      <c r="G16" s="6">
        <f>HLOOKUP(A16,'2025 все бани'!$1:$5,2,FALSE)</f>
        <v>15</v>
      </c>
      <c r="H16" s="4">
        <v>0.0</v>
      </c>
      <c r="I16" s="4">
        <v>2.0</v>
      </c>
      <c r="J16" s="4">
        <v>0.0</v>
      </c>
      <c r="K16" s="4">
        <f>3/5</f>
        <v>0.6</v>
      </c>
      <c r="L16" s="4">
        <v>0.0</v>
      </c>
      <c r="M16" s="4">
        <v>0.0</v>
      </c>
      <c r="N16" s="4">
        <f>6/10</f>
        <v>0.6</v>
      </c>
      <c r="O16" s="7">
        <f t="shared" si="33"/>
        <v>0.75</v>
      </c>
      <c r="P16" s="4">
        <v>0.0</v>
      </c>
      <c r="Q16" s="4">
        <v>0.0</v>
      </c>
      <c r="R16" s="4">
        <v>0.0</v>
      </c>
      <c r="S16" s="4">
        <v>0.0</v>
      </c>
      <c r="T16" s="4">
        <v>0.0</v>
      </c>
      <c r="U16" s="4">
        <v>0.0</v>
      </c>
      <c r="V16" s="4">
        <v>0.0</v>
      </c>
      <c r="W16" s="4">
        <v>0.0</v>
      </c>
      <c r="X16" s="4">
        <v>2.5</v>
      </c>
      <c r="Y16" s="4">
        <v>0.0</v>
      </c>
      <c r="Z16" s="4">
        <v>0.0</v>
      </c>
      <c r="AA16" s="4">
        <v>0.0</v>
      </c>
      <c r="AB16" s="4">
        <v>0.0</v>
      </c>
      <c r="AC16" s="7">
        <f>11/4</f>
        <v>2.75</v>
      </c>
      <c r="AD16" s="4">
        <v>0.0</v>
      </c>
      <c r="AE16" s="4">
        <v>0.0</v>
      </c>
      <c r="AF16" s="4">
        <v>0.0</v>
      </c>
      <c r="AG16" s="4">
        <v>0.0</v>
      </c>
      <c r="AH16" s="7">
        <v>0.5</v>
      </c>
      <c r="AI16" s="7">
        <f>18/6</f>
        <v>3</v>
      </c>
      <c r="AJ16" s="4">
        <v>0.0</v>
      </c>
      <c r="AK16" s="7">
        <f>10/3</f>
        <v>3.333333333</v>
      </c>
      <c r="AL16" s="7">
        <v>0.75</v>
      </c>
      <c r="AM16" s="4">
        <v>0.0</v>
      </c>
      <c r="AN16" s="7">
        <f t="shared" si="34"/>
        <v>2.75</v>
      </c>
      <c r="AO16" s="4">
        <v>0.0</v>
      </c>
      <c r="AP16" s="4">
        <v>0.0</v>
      </c>
      <c r="AQ16" s="4">
        <v>0.0</v>
      </c>
      <c r="AR16" s="4">
        <v>0.0</v>
      </c>
      <c r="AS16" s="4">
        <v>4.0</v>
      </c>
      <c r="AT16" s="4">
        <v>0.0</v>
      </c>
      <c r="AU16" s="4">
        <v>0.0</v>
      </c>
      <c r="AV16" s="7">
        <v>0.3</v>
      </c>
      <c r="AW16" s="7">
        <f>1/4</f>
        <v>0.25</v>
      </c>
      <c r="AX16" s="4">
        <v>0.0</v>
      </c>
      <c r="AY16" s="7">
        <f t="shared" si="35"/>
        <v>2.2</v>
      </c>
      <c r="AZ16" s="7">
        <v>0.09090909091</v>
      </c>
      <c r="BA16" s="7">
        <v>1.5</v>
      </c>
      <c r="BB16" s="7">
        <v>0.0</v>
      </c>
      <c r="BC16" s="7">
        <v>0.5</v>
      </c>
      <c r="BD16" s="7">
        <v>0.0</v>
      </c>
      <c r="BE16" s="4">
        <v>0.0</v>
      </c>
      <c r="BF16" s="4">
        <v>1.5</v>
      </c>
      <c r="BG16" s="4">
        <v>0.0</v>
      </c>
      <c r="BH16" s="5">
        <f t="shared" si="28"/>
        <v>0.375</v>
      </c>
    </row>
    <row r="17">
      <c r="A17" s="4" t="s">
        <v>34</v>
      </c>
      <c r="B17" s="16">
        <f t="shared" si="1"/>
        <v>120.5754329</v>
      </c>
      <c r="C17" s="6">
        <f>VLOOKUP(A17,'2025 недельный зачет'!$A:$B,2,FALSE)</f>
        <v>35</v>
      </c>
      <c r="D17" s="6">
        <f>HLOOKUP(A17,'2025 все бани'!$1:$5,5,FALSE)</f>
        <v>18</v>
      </c>
      <c r="E17" s="6">
        <f>HLOOKUP(A17,'2025 все бани'!$1:$5,4,FALSE)</f>
        <v>9</v>
      </c>
      <c r="F17" s="6">
        <f>HLOOKUP(A17,'2025 все бани'!$1:$5,3,FALSE)</f>
        <v>22</v>
      </c>
      <c r="G17" s="6">
        <f>HLOOKUP(A17,'2025 все бани'!$1:$5,2,FALSE)</f>
        <v>12</v>
      </c>
      <c r="H17" s="7">
        <v>0.125</v>
      </c>
      <c r="I17" s="4">
        <v>0.0</v>
      </c>
      <c r="J17" s="4">
        <v>0.0</v>
      </c>
      <c r="K17" s="7">
        <v>3.0</v>
      </c>
      <c r="L17" s="7">
        <v>2.0</v>
      </c>
      <c r="M17" s="4">
        <v>0.0</v>
      </c>
      <c r="N17" s="4">
        <v>0.0</v>
      </c>
      <c r="O17" s="7">
        <v>6.0</v>
      </c>
      <c r="P17" s="7">
        <f>1/7</f>
        <v>0.1428571429</v>
      </c>
      <c r="Q17" s="4">
        <v>0.0</v>
      </c>
      <c r="R17" s="4">
        <v>0.0</v>
      </c>
      <c r="S17" s="4">
        <v>0.0</v>
      </c>
      <c r="T17" s="4">
        <v>0.0</v>
      </c>
      <c r="U17" s="7">
        <f>11/6</f>
        <v>1.833333333</v>
      </c>
      <c r="V17" s="4">
        <v>0.0</v>
      </c>
      <c r="W17" s="4">
        <v>0.0</v>
      </c>
      <c r="X17" s="4">
        <v>0.0</v>
      </c>
      <c r="Y17" s="4">
        <v>7.0</v>
      </c>
      <c r="Z17" s="4">
        <v>0.0</v>
      </c>
      <c r="AA17" s="4">
        <v>0.0</v>
      </c>
      <c r="AB17" s="4">
        <v>0.0</v>
      </c>
      <c r="AC17" s="4">
        <v>0.0</v>
      </c>
      <c r="AD17" s="4">
        <v>0.0</v>
      </c>
      <c r="AE17" s="4">
        <v>0.0</v>
      </c>
      <c r="AF17" s="4">
        <v>0.0</v>
      </c>
      <c r="AG17" s="4">
        <v>0.0</v>
      </c>
      <c r="AH17" s="4">
        <v>0.0</v>
      </c>
      <c r="AI17" s="4">
        <v>0.0</v>
      </c>
      <c r="AJ17" s="4">
        <v>0.0</v>
      </c>
      <c r="AK17" s="4">
        <v>0.0</v>
      </c>
      <c r="AL17" s="7">
        <v>0.75</v>
      </c>
      <c r="AM17" s="4">
        <v>0.0</v>
      </c>
      <c r="AN17" s="4">
        <v>0.0</v>
      </c>
      <c r="AO17" s="4">
        <v>0.0</v>
      </c>
      <c r="AP17" s="4">
        <v>0.0</v>
      </c>
      <c r="AQ17" s="4">
        <v>0.0</v>
      </c>
      <c r="AR17" s="4">
        <v>0.0</v>
      </c>
      <c r="AS17" s="4">
        <v>0.0</v>
      </c>
      <c r="AT17" s="4">
        <v>0.0</v>
      </c>
      <c r="AU17" s="4">
        <v>0.0</v>
      </c>
      <c r="AV17" s="7">
        <v>0.3</v>
      </c>
      <c r="AW17" s="4">
        <v>0.0</v>
      </c>
      <c r="AX17" s="4">
        <v>0.0</v>
      </c>
      <c r="AY17" s="4">
        <v>0.0</v>
      </c>
      <c r="AZ17" s="7">
        <v>3.333333333</v>
      </c>
      <c r="BA17" s="4">
        <v>0.0</v>
      </c>
      <c r="BB17" s="4">
        <v>0.0</v>
      </c>
      <c r="BC17" s="4">
        <v>0.0</v>
      </c>
      <c r="BD17" s="7">
        <v>0.0</v>
      </c>
      <c r="BE17" s="7">
        <f t="shared" ref="BE17:BE19" si="36">1/11</f>
        <v>0.09090909091</v>
      </c>
      <c r="BF17" s="4">
        <v>0.0</v>
      </c>
      <c r="BG17" s="4">
        <v>0.0</v>
      </c>
      <c r="BH17" s="4">
        <v>0.0</v>
      </c>
    </row>
    <row r="18">
      <c r="A18" s="4" t="s">
        <v>43</v>
      </c>
      <c r="B18" s="16">
        <f t="shared" si="1"/>
        <v>64.0040404</v>
      </c>
      <c r="C18" s="6">
        <f>VLOOKUP(A18,'2025 недельный зачет'!$A:$B,2,FALSE)</f>
        <v>19</v>
      </c>
      <c r="D18" s="6">
        <f>HLOOKUP(A18,'2025 все бани'!$1:$5,5,FALSE)</f>
        <v>10</v>
      </c>
      <c r="E18" s="6">
        <f>HLOOKUP(A18,'2025 все бани'!$1:$5,4,FALSE)</f>
        <v>4</v>
      </c>
      <c r="F18" s="6">
        <f>HLOOKUP(A18,'2025 все бани'!$1:$5,3,FALSE)</f>
        <v>13</v>
      </c>
      <c r="G18" s="6">
        <f>HLOOKUP(A18,'2025 все бани'!$1:$5,2,FALSE)</f>
        <v>9</v>
      </c>
      <c r="H18" s="4">
        <v>0.0</v>
      </c>
      <c r="I18" s="4">
        <v>0.0</v>
      </c>
      <c r="J18" s="4">
        <v>0.0</v>
      </c>
      <c r="K18" s="4">
        <v>0.0</v>
      </c>
      <c r="L18" s="4">
        <v>0.0</v>
      </c>
      <c r="M18" s="4">
        <v>0.0</v>
      </c>
      <c r="N18" s="4">
        <f>6/10</f>
        <v>0.6</v>
      </c>
      <c r="O18" s="4">
        <v>0.0</v>
      </c>
      <c r="P18" s="4">
        <v>0.0</v>
      </c>
      <c r="Q18" s="4">
        <v>0.0</v>
      </c>
      <c r="R18" s="4">
        <v>0.0</v>
      </c>
      <c r="S18" s="4">
        <v>0.0</v>
      </c>
      <c r="T18" s="4">
        <v>0.0</v>
      </c>
      <c r="U18" s="4">
        <v>0.0</v>
      </c>
      <c r="V18" s="7">
        <v>1.222222222</v>
      </c>
      <c r="W18" s="4">
        <v>0.0</v>
      </c>
      <c r="X18" s="4">
        <v>0.0</v>
      </c>
      <c r="Y18" s="4">
        <v>0.0</v>
      </c>
      <c r="Z18" s="4">
        <v>0.0</v>
      </c>
      <c r="AA18" s="4">
        <v>0.0</v>
      </c>
      <c r="AB18" s="4">
        <v>0.0</v>
      </c>
      <c r="AC18" s="4">
        <v>0.0</v>
      </c>
      <c r="AD18" s="4">
        <v>0.0</v>
      </c>
      <c r="AE18" s="4">
        <v>0.0</v>
      </c>
      <c r="AF18" s="4">
        <v>0.0</v>
      </c>
      <c r="AG18" s="4">
        <v>2.0</v>
      </c>
      <c r="AH18" s="4">
        <v>0.0</v>
      </c>
      <c r="AI18" s="4">
        <v>0.0</v>
      </c>
      <c r="AJ18" s="4">
        <v>0.0</v>
      </c>
      <c r="AK18" s="4">
        <v>0.0</v>
      </c>
      <c r="AL18" s="4">
        <v>5.0</v>
      </c>
      <c r="AM18" s="4">
        <v>0.0</v>
      </c>
      <c r="AN18" s="4">
        <v>0.0</v>
      </c>
      <c r="AO18" s="4">
        <v>0.0</v>
      </c>
      <c r="AP18" s="4">
        <v>0.0</v>
      </c>
      <c r="AQ18" s="4">
        <v>0.0</v>
      </c>
      <c r="AR18" s="4">
        <v>0.0</v>
      </c>
      <c r="AS18" s="4">
        <v>0.0</v>
      </c>
      <c r="AT18" s="4">
        <v>0.0</v>
      </c>
      <c r="AU18" s="4">
        <v>0.0</v>
      </c>
      <c r="AV18" s="4">
        <v>0.0</v>
      </c>
      <c r="AW18" s="4">
        <v>0.0</v>
      </c>
      <c r="AX18" s="4">
        <v>0.0</v>
      </c>
      <c r="AY18" s="4">
        <v>0.0</v>
      </c>
      <c r="AZ18" s="7">
        <v>0.09090909091</v>
      </c>
      <c r="BA18" s="4">
        <v>0.0</v>
      </c>
      <c r="BB18" s="4">
        <v>0.0</v>
      </c>
      <c r="BC18" s="4">
        <v>0.0</v>
      </c>
      <c r="BD18" s="7">
        <v>0.0</v>
      </c>
      <c r="BE18" s="7">
        <f t="shared" si="36"/>
        <v>0.09090909091</v>
      </c>
      <c r="BF18" s="4">
        <v>0.0</v>
      </c>
      <c r="BG18" s="4">
        <v>0.0</v>
      </c>
      <c r="BH18" s="4">
        <v>0.0</v>
      </c>
    </row>
    <row r="19">
      <c r="A19" s="4" t="s">
        <v>39</v>
      </c>
      <c r="B19" s="16">
        <f t="shared" si="1"/>
        <v>62.09090909</v>
      </c>
      <c r="C19" s="6">
        <f>VLOOKUP(A19,'2025 недельный зачет'!$A:$B,2,FALSE)</f>
        <v>13</v>
      </c>
      <c r="D19" s="6">
        <f>HLOOKUP(A19,'2025 все бани'!$1:$5,5,FALSE)</f>
        <v>12</v>
      </c>
      <c r="E19" s="6">
        <f>HLOOKUP(A19,'2025 все бани'!$1:$5,4,FALSE)</f>
        <v>4</v>
      </c>
      <c r="F19" s="6">
        <f>HLOOKUP(A19,'2025 все бани'!$1:$5,3,FALSE)</f>
        <v>10</v>
      </c>
      <c r="G19" s="6">
        <f>HLOOKUP(A19,'2025 все бани'!$1:$5,2,FALSE)</f>
        <v>13</v>
      </c>
      <c r="H19" s="4">
        <v>0.0</v>
      </c>
      <c r="I19" s="4">
        <v>0.0</v>
      </c>
      <c r="J19" s="4">
        <v>0.0</v>
      </c>
      <c r="K19" s="4">
        <v>0.0</v>
      </c>
      <c r="L19" s="4">
        <v>0.0</v>
      </c>
      <c r="M19" s="4">
        <v>0.0</v>
      </c>
      <c r="N19" s="4">
        <v>0.0</v>
      </c>
      <c r="O19" s="4">
        <v>0.0</v>
      </c>
      <c r="P19" s="4">
        <v>0.0</v>
      </c>
      <c r="Q19" s="4">
        <v>0.0</v>
      </c>
      <c r="R19" s="4">
        <v>0.0</v>
      </c>
      <c r="S19" s="4">
        <v>0.0</v>
      </c>
      <c r="T19" s="4">
        <v>0.0</v>
      </c>
      <c r="U19" s="4">
        <v>0.0</v>
      </c>
      <c r="V19" s="4">
        <v>0.0</v>
      </c>
      <c r="W19" s="4">
        <v>0.0</v>
      </c>
      <c r="X19" s="4">
        <v>0.0</v>
      </c>
      <c r="Y19" s="4">
        <v>0.0</v>
      </c>
      <c r="Z19" s="4">
        <v>0.0</v>
      </c>
      <c r="AA19" s="4">
        <v>0.0</v>
      </c>
      <c r="AB19" s="4">
        <v>1.5</v>
      </c>
      <c r="AC19" s="4">
        <v>0.0</v>
      </c>
      <c r="AD19" s="4">
        <v>0.0</v>
      </c>
      <c r="AE19" s="7">
        <v>8.5</v>
      </c>
      <c r="AF19" s="4">
        <v>0.0</v>
      </c>
      <c r="AG19" s="4">
        <v>0.0</v>
      </c>
      <c r="AH19" s="4">
        <v>0.0</v>
      </c>
      <c r="AI19" s="4">
        <v>0.0</v>
      </c>
      <c r="AJ19" s="4">
        <v>0.0</v>
      </c>
      <c r="AK19" s="4">
        <v>0.0</v>
      </c>
      <c r="AL19" s="4">
        <v>0.0</v>
      </c>
      <c r="AM19" s="4">
        <v>0.0</v>
      </c>
      <c r="AN19" s="4">
        <v>0.0</v>
      </c>
      <c r="AO19" s="4">
        <v>0.0</v>
      </c>
      <c r="AP19" s="4">
        <v>0.0</v>
      </c>
      <c r="AQ19" s="4">
        <v>0.0</v>
      </c>
      <c r="AR19" s="4">
        <v>0.0</v>
      </c>
      <c r="AS19" s="4">
        <v>0.0</v>
      </c>
      <c r="AT19" s="4">
        <v>0.0</v>
      </c>
      <c r="AU19" s="4">
        <v>0.0</v>
      </c>
      <c r="AV19" s="4">
        <v>0.0</v>
      </c>
      <c r="AW19" s="4">
        <v>0.0</v>
      </c>
      <c r="AX19" s="4">
        <v>0.0</v>
      </c>
      <c r="AY19" s="4">
        <v>0.0</v>
      </c>
      <c r="AZ19" s="4">
        <v>0.0</v>
      </c>
      <c r="BA19" s="4">
        <v>0.0</v>
      </c>
      <c r="BB19" s="4">
        <v>0.0</v>
      </c>
      <c r="BC19" s="4">
        <v>0.0</v>
      </c>
      <c r="BD19" s="7">
        <v>0.0</v>
      </c>
      <c r="BE19" s="7">
        <f t="shared" si="36"/>
        <v>0.09090909091</v>
      </c>
      <c r="BF19" s="4">
        <v>0.0</v>
      </c>
      <c r="BG19" s="4">
        <v>0.0</v>
      </c>
      <c r="BH19" s="4">
        <v>0.0</v>
      </c>
    </row>
    <row r="20">
      <c r="A20" s="4" t="s">
        <v>29</v>
      </c>
      <c r="B20" s="16">
        <f t="shared" si="1"/>
        <v>41</v>
      </c>
      <c r="C20" s="6">
        <f>VLOOKUP(A20,'2025 недельный зачет'!$A:$B,2,FALSE)</f>
        <v>14</v>
      </c>
      <c r="D20" s="6">
        <f>HLOOKUP(A20,'2025 все бани'!$1:$5,5,FALSE)</f>
        <v>9</v>
      </c>
      <c r="E20" s="6">
        <f>HLOOKUP(A20,'2025 все бани'!$1:$5,4,FALSE)</f>
        <v>1</v>
      </c>
      <c r="F20" s="6">
        <f>HLOOKUP(A20,'2025 все бани'!$1:$5,3,FALSE)</f>
        <v>9</v>
      </c>
      <c r="G20" s="6">
        <f>HLOOKUP(A20,'2025 все бани'!$1:$5,2,FALSE)</f>
        <v>8</v>
      </c>
      <c r="H20" s="4">
        <v>0.0</v>
      </c>
      <c r="I20" s="4">
        <v>0.0</v>
      </c>
      <c r="J20" s="4">
        <v>0.0</v>
      </c>
      <c r="K20" s="4">
        <v>0.0</v>
      </c>
      <c r="L20" s="4">
        <v>0.0</v>
      </c>
      <c r="M20" s="4">
        <v>0.0</v>
      </c>
      <c r="N20" s="4">
        <v>0.0</v>
      </c>
      <c r="O20" s="4">
        <v>0.0</v>
      </c>
      <c r="P20" s="4">
        <v>0.0</v>
      </c>
      <c r="Q20" s="4">
        <v>0.0</v>
      </c>
      <c r="R20" s="4">
        <v>0.0</v>
      </c>
      <c r="S20" s="4">
        <v>0.0</v>
      </c>
      <c r="T20" s="4">
        <v>0.0</v>
      </c>
      <c r="U20" s="4">
        <v>0.0</v>
      </c>
      <c r="V20" s="4">
        <v>0.0</v>
      </c>
      <c r="W20" s="4">
        <v>0.0</v>
      </c>
      <c r="X20" s="4">
        <v>0.0</v>
      </c>
      <c r="Y20" s="4">
        <v>0.0</v>
      </c>
      <c r="Z20" s="4">
        <v>0.0</v>
      </c>
      <c r="AA20" s="4">
        <v>0.0</v>
      </c>
      <c r="AB20" s="4">
        <v>0.0</v>
      </c>
      <c r="AC20" s="4">
        <v>0.0</v>
      </c>
      <c r="AD20" s="4">
        <v>0.0</v>
      </c>
      <c r="AE20" s="4">
        <v>0.0</v>
      </c>
      <c r="AF20" s="4">
        <v>0.0</v>
      </c>
      <c r="AG20" s="4">
        <v>0.0</v>
      </c>
      <c r="AH20" s="4">
        <v>0.0</v>
      </c>
      <c r="AI20" s="4">
        <v>0.0</v>
      </c>
      <c r="AJ20" s="4">
        <v>0.0</v>
      </c>
      <c r="AK20" s="4">
        <v>0.0</v>
      </c>
      <c r="AL20" s="4">
        <v>0.0</v>
      </c>
      <c r="AM20" s="4">
        <v>0.0</v>
      </c>
      <c r="AN20" s="4">
        <v>0.0</v>
      </c>
      <c r="AO20" s="4">
        <v>0.0</v>
      </c>
      <c r="AP20" s="4">
        <v>0.0</v>
      </c>
      <c r="AQ20" s="4">
        <v>0.0</v>
      </c>
      <c r="AR20" s="4">
        <v>0.0</v>
      </c>
      <c r="AS20" s="4">
        <v>0.0</v>
      </c>
      <c r="AT20" s="4">
        <v>0.0</v>
      </c>
      <c r="AU20" s="4">
        <v>0.0</v>
      </c>
      <c r="AV20" s="4">
        <v>0.0</v>
      </c>
      <c r="AW20" s="4">
        <v>0.0</v>
      </c>
      <c r="AX20" s="4">
        <v>0.0</v>
      </c>
      <c r="AY20" s="4">
        <v>0.0</v>
      </c>
      <c r="AZ20" s="4">
        <v>0.0</v>
      </c>
      <c r="BA20" s="4">
        <v>0.0</v>
      </c>
      <c r="BB20" s="4">
        <v>0.0</v>
      </c>
      <c r="BC20" s="4">
        <v>0.0</v>
      </c>
      <c r="BD20" s="7">
        <v>0.0</v>
      </c>
      <c r="BE20" s="4">
        <v>0.0</v>
      </c>
      <c r="BF20" s="4">
        <v>0.0</v>
      </c>
      <c r="BG20" s="4">
        <v>0.0</v>
      </c>
      <c r="BH20" s="4">
        <v>0.0</v>
      </c>
    </row>
    <row r="21">
      <c r="A21" s="4" t="s">
        <v>40</v>
      </c>
      <c r="B21" s="16">
        <f t="shared" si="1"/>
        <v>40.05952381</v>
      </c>
      <c r="C21" s="6">
        <f>VLOOKUP(A21,'2025 недельный зачет'!$A:$B,2,FALSE)</f>
        <v>10</v>
      </c>
      <c r="D21" s="6">
        <f>HLOOKUP(A21,'2025 все бани'!$1:$5,5,FALSE)</f>
        <v>10</v>
      </c>
      <c r="E21" s="6">
        <f>HLOOKUP(A21,'2025 все бани'!$1:$5,4,FALSE)</f>
        <v>2</v>
      </c>
      <c r="F21" s="6">
        <f>HLOOKUP(A21,'2025 все бани'!$1:$5,3,FALSE)</f>
        <v>8</v>
      </c>
      <c r="G21" s="6">
        <f>HLOOKUP(A21,'2025 все бани'!$1:$5,2,FALSE)</f>
        <v>7</v>
      </c>
      <c r="H21" s="4">
        <v>0.0</v>
      </c>
      <c r="I21" s="4">
        <v>0.0</v>
      </c>
      <c r="J21" s="4">
        <v>0.0</v>
      </c>
      <c r="K21" s="4">
        <v>0.0</v>
      </c>
      <c r="L21" s="4">
        <v>0.0</v>
      </c>
      <c r="M21" s="7">
        <v>0.1666666667</v>
      </c>
      <c r="N21" s="4">
        <v>0.0</v>
      </c>
      <c r="O21" s="4">
        <v>0.0</v>
      </c>
      <c r="P21" s="7">
        <f>1/7</f>
        <v>0.1428571429</v>
      </c>
      <c r="Q21" s="4">
        <v>0.0</v>
      </c>
      <c r="R21" s="4">
        <v>0.0</v>
      </c>
      <c r="S21" s="4">
        <v>0.0</v>
      </c>
      <c r="T21" s="4">
        <v>0.0</v>
      </c>
      <c r="U21" s="4">
        <v>0.0</v>
      </c>
      <c r="V21" s="4">
        <v>0.0</v>
      </c>
      <c r="W21" s="4">
        <v>0.0</v>
      </c>
      <c r="X21" s="4">
        <v>0.0</v>
      </c>
      <c r="Y21" s="4">
        <v>0.0</v>
      </c>
      <c r="Z21" s="4">
        <v>0.0</v>
      </c>
      <c r="AA21" s="4">
        <v>0.0</v>
      </c>
      <c r="AB21" s="4">
        <v>0.0</v>
      </c>
      <c r="AC21" s="4">
        <v>0.0</v>
      </c>
      <c r="AD21" s="4">
        <v>0.0</v>
      </c>
      <c r="AE21" s="4">
        <v>0.0</v>
      </c>
      <c r="AF21" s="4">
        <v>0.0</v>
      </c>
      <c r="AG21" s="4">
        <v>0.0</v>
      </c>
      <c r="AH21" s="4">
        <v>0.0</v>
      </c>
      <c r="AI21" s="4">
        <v>0.0</v>
      </c>
      <c r="AJ21" s="7">
        <f>11/4</f>
        <v>2.75</v>
      </c>
      <c r="AK21" s="4">
        <v>0.0</v>
      </c>
      <c r="AL21" s="4">
        <v>0.0</v>
      </c>
      <c r="AM21" s="4">
        <v>0.0</v>
      </c>
      <c r="AN21" s="4">
        <v>0.0</v>
      </c>
      <c r="AO21" s="4">
        <v>0.0</v>
      </c>
      <c r="AP21" s="4">
        <v>0.0</v>
      </c>
      <c r="AQ21" s="4">
        <v>0.0</v>
      </c>
      <c r="AR21" s="4">
        <v>0.0</v>
      </c>
      <c r="AS21" s="4">
        <v>0.0</v>
      </c>
      <c r="AT21" s="4">
        <v>0.0</v>
      </c>
      <c r="AU21" s="4">
        <v>0.0</v>
      </c>
      <c r="AV21" s="4">
        <v>0.0</v>
      </c>
      <c r="AW21" s="4">
        <v>0.0</v>
      </c>
      <c r="AX21" s="4">
        <v>0.0</v>
      </c>
      <c r="AY21" s="4">
        <v>0.0</v>
      </c>
      <c r="AZ21" s="4">
        <v>0.0</v>
      </c>
      <c r="BA21" s="4">
        <v>0.0</v>
      </c>
      <c r="BB21" s="4">
        <v>0.0</v>
      </c>
      <c r="BC21" s="4">
        <v>0.0</v>
      </c>
      <c r="BD21" s="7">
        <v>0.0</v>
      </c>
      <c r="BE21" s="4">
        <v>0.0</v>
      </c>
      <c r="BF21" s="4">
        <v>0.0</v>
      </c>
      <c r="BG21" s="4">
        <v>0.0</v>
      </c>
      <c r="BH21" s="4">
        <v>0.0</v>
      </c>
    </row>
    <row r="22">
      <c r="A22" s="4" t="s">
        <v>33</v>
      </c>
      <c r="B22" s="16">
        <f t="shared" si="1"/>
        <v>39.9</v>
      </c>
      <c r="C22" s="6">
        <f>VLOOKUP(A22,'2025 недельный зачет'!$A:$B,2,FALSE)</f>
        <v>10</v>
      </c>
      <c r="D22" s="6">
        <f>HLOOKUP(A22,'2025 все бани'!$1:$5,5,FALSE)</f>
        <v>7</v>
      </c>
      <c r="E22" s="6">
        <f>HLOOKUP(A22,'2025 все бани'!$1:$5,4,FALSE)</f>
        <v>3</v>
      </c>
      <c r="F22" s="6">
        <f>HLOOKUP(A22,'2025 все бани'!$1:$5,3,FALSE)</f>
        <v>5</v>
      </c>
      <c r="G22" s="6">
        <f>HLOOKUP(A22,'2025 все бани'!$1:$5,2,FALSE)</f>
        <v>10</v>
      </c>
      <c r="H22" s="4">
        <v>0.0</v>
      </c>
      <c r="I22" s="4">
        <v>0.0</v>
      </c>
      <c r="J22" s="4">
        <v>0.0</v>
      </c>
      <c r="K22" s="4">
        <v>0.0</v>
      </c>
      <c r="L22" s="4">
        <v>0.0</v>
      </c>
      <c r="M22" s="4">
        <v>0.0</v>
      </c>
      <c r="N22" s="4">
        <v>0.0</v>
      </c>
      <c r="O22" s="4">
        <v>0.0</v>
      </c>
      <c r="P22" s="4">
        <v>0.0</v>
      </c>
      <c r="Q22" s="4">
        <v>0.0</v>
      </c>
      <c r="R22" s="4">
        <v>0.0</v>
      </c>
      <c r="S22" s="4">
        <f>18/5</f>
        <v>3.6</v>
      </c>
      <c r="T22" s="4">
        <v>0.0</v>
      </c>
      <c r="U22" s="4">
        <v>0.0</v>
      </c>
      <c r="V22" s="4">
        <v>0.0</v>
      </c>
      <c r="W22" s="4">
        <v>0.0</v>
      </c>
      <c r="X22" s="4">
        <v>0.0</v>
      </c>
      <c r="Y22" s="4">
        <v>1.0</v>
      </c>
      <c r="Z22" s="4">
        <v>0.0</v>
      </c>
      <c r="AA22" s="4">
        <v>0.0</v>
      </c>
      <c r="AB22" s="4">
        <v>0.0</v>
      </c>
      <c r="AC22" s="4">
        <v>0.0</v>
      </c>
      <c r="AD22" s="4">
        <v>0.0</v>
      </c>
      <c r="AE22" s="4">
        <v>0.0</v>
      </c>
      <c r="AF22" s="4">
        <v>0.0</v>
      </c>
      <c r="AG22" s="4">
        <v>0.0</v>
      </c>
      <c r="AH22" s="4">
        <v>0.0</v>
      </c>
      <c r="AI22" s="4">
        <v>0.0</v>
      </c>
      <c r="AJ22" s="4">
        <v>0.0</v>
      </c>
      <c r="AK22" s="4">
        <v>0.0</v>
      </c>
      <c r="AL22" s="4">
        <v>0.0</v>
      </c>
      <c r="AM22" s="4">
        <v>0.0</v>
      </c>
      <c r="AN22" s="4">
        <v>0.0</v>
      </c>
      <c r="AO22" s="4">
        <v>0.0</v>
      </c>
      <c r="AP22" s="4">
        <v>0.0</v>
      </c>
      <c r="AQ22" s="4">
        <v>0.0</v>
      </c>
      <c r="AR22" s="4">
        <v>0.0</v>
      </c>
      <c r="AS22" s="4">
        <v>0.0</v>
      </c>
      <c r="AT22" s="4">
        <v>0.0</v>
      </c>
      <c r="AU22" s="4">
        <v>0.0</v>
      </c>
      <c r="AV22" s="7">
        <v>0.3</v>
      </c>
      <c r="AW22" s="4">
        <v>0.0</v>
      </c>
      <c r="AX22" s="4">
        <v>0.0</v>
      </c>
      <c r="AY22" s="4">
        <v>0.0</v>
      </c>
      <c r="AZ22" s="4">
        <v>0.0</v>
      </c>
      <c r="BA22" s="4">
        <v>0.0</v>
      </c>
      <c r="BB22" s="4">
        <v>0.0</v>
      </c>
      <c r="BC22" s="4">
        <v>0.0</v>
      </c>
      <c r="BD22" s="7">
        <v>0.0</v>
      </c>
      <c r="BE22" s="4">
        <v>0.0</v>
      </c>
      <c r="BF22" s="4">
        <v>0.0</v>
      </c>
      <c r="BG22" s="4">
        <v>0.0</v>
      </c>
      <c r="BH22" s="4">
        <v>0.0</v>
      </c>
    </row>
    <row r="23">
      <c r="A23" s="4" t="s">
        <v>38</v>
      </c>
      <c r="B23" s="16">
        <f t="shared" si="1"/>
        <v>39.36868687</v>
      </c>
      <c r="C23" s="6">
        <f>VLOOKUP(A23,'2025 недельный зачет'!$A:$B,2,FALSE)</f>
        <v>10</v>
      </c>
      <c r="D23" s="6">
        <f>HLOOKUP(A23,'2025 все бани'!$1:$5,5,FALSE)</f>
        <v>6</v>
      </c>
      <c r="E23" s="6">
        <f>HLOOKUP(A23,'2025 все бани'!$1:$5,4,FALSE)</f>
        <v>2</v>
      </c>
      <c r="F23" s="6">
        <f>HLOOKUP(A23,'2025 все бани'!$1:$5,3,FALSE)</f>
        <v>7</v>
      </c>
      <c r="G23" s="6">
        <f>HLOOKUP(A23,'2025 все бани'!$1:$5,2,FALSE)</f>
        <v>14</v>
      </c>
      <c r="H23" s="4">
        <v>0.0</v>
      </c>
      <c r="I23" s="4">
        <v>0.0</v>
      </c>
      <c r="J23" s="4">
        <v>0.0</v>
      </c>
      <c r="K23" s="4">
        <v>0.0</v>
      </c>
      <c r="L23" s="4">
        <v>0.0</v>
      </c>
      <c r="M23" s="4">
        <v>0.0</v>
      </c>
      <c r="N23" s="4">
        <v>0.0</v>
      </c>
      <c r="O23" s="4">
        <v>0.0</v>
      </c>
      <c r="P23" s="4">
        <v>0.0</v>
      </c>
      <c r="Q23" s="4">
        <v>0.0</v>
      </c>
      <c r="R23" s="4">
        <v>0.0</v>
      </c>
      <c r="S23" s="4">
        <v>0.0</v>
      </c>
      <c r="T23" s="4">
        <v>0.0</v>
      </c>
      <c r="U23" s="4">
        <v>0.0</v>
      </c>
      <c r="V23" s="4">
        <v>0.0</v>
      </c>
      <c r="W23" s="4">
        <v>0.0</v>
      </c>
      <c r="X23" s="7">
        <f t="shared" ref="X23:X25" si="37">1/9</f>
        <v>0.1111111111</v>
      </c>
      <c r="Y23" s="4">
        <v>0.0</v>
      </c>
      <c r="Z23" s="4">
        <v>0.0</v>
      </c>
      <c r="AA23" s="4">
        <v>0.0</v>
      </c>
      <c r="AB23" s="4">
        <v>0.0</v>
      </c>
      <c r="AC23" s="4">
        <v>0.0</v>
      </c>
      <c r="AD23" s="4">
        <v>0.0</v>
      </c>
      <c r="AE23" s="4">
        <v>0.0</v>
      </c>
      <c r="AF23" s="4">
        <v>0.0</v>
      </c>
      <c r="AG23" s="4">
        <v>0.0</v>
      </c>
      <c r="AH23" s="4">
        <v>0.0</v>
      </c>
      <c r="AI23" s="4">
        <v>0.0</v>
      </c>
      <c r="AJ23" s="4">
        <v>0.0</v>
      </c>
      <c r="AK23" s="7">
        <f t="shared" ref="AK23:AK24" si="38">1/11</f>
        <v>0.09090909091</v>
      </c>
      <c r="AL23" s="4">
        <v>0.0</v>
      </c>
      <c r="AM23" s="4">
        <v>0.0</v>
      </c>
      <c r="AN23" s="4">
        <v>0.0</v>
      </c>
      <c r="AO23" s="4">
        <v>0.0</v>
      </c>
      <c r="AP23" s="4">
        <v>0.0</v>
      </c>
      <c r="AQ23" s="7">
        <f>1/6</f>
        <v>0.1666666667</v>
      </c>
      <c r="AR23" s="4">
        <v>0.0</v>
      </c>
      <c r="AS23" s="4">
        <v>0.0</v>
      </c>
      <c r="AT23" s="4">
        <v>0.0</v>
      </c>
      <c r="AU23" s="4">
        <v>0.0</v>
      </c>
      <c r="AV23" s="4">
        <v>0.0</v>
      </c>
      <c r="AW23" s="4">
        <v>0.0</v>
      </c>
      <c r="AX23" s="4">
        <v>0.0</v>
      </c>
      <c r="AY23" s="4">
        <v>0.0</v>
      </c>
      <c r="AZ23" s="4">
        <v>0.0</v>
      </c>
      <c r="BA23" s="4">
        <v>0.0</v>
      </c>
      <c r="BB23" s="4">
        <v>0.0</v>
      </c>
      <c r="BC23" s="4">
        <v>0.0</v>
      </c>
      <c r="BD23" s="7">
        <v>0.0</v>
      </c>
      <c r="BE23" s="4">
        <v>0.0</v>
      </c>
      <c r="BF23" s="4">
        <v>0.0</v>
      </c>
      <c r="BG23" s="4">
        <v>0.0</v>
      </c>
      <c r="BH23" s="4">
        <v>0.0</v>
      </c>
    </row>
    <row r="24">
      <c r="A24" s="4" t="s">
        <v>37</v>
      </c>
      <c r="B24" s="16">
        <f t="shared" si="1"/>
        <v>31.8020202</v>
      </c>
      <c r="C24" s="6">
        <f>VLOOKUP(A24,'2025 недельный зачет'!$A:$B,2,FALSE)</f>
        <v>8</v>
      </c>
      <c r="D24" s="6">
        <f>HLOOKUP(A24,'2025 все бани'!$1:$5,5,FALSE)</f>
        <v>6</v>
      </c>
      <c r="E24" s="6">
        <f>HLOOKUP(A24,'2025 все бани'!$1:$5,4,FALSE)</f>
        <v>2</v>
      </c>
      <c r="F24" s="6">
        <f>HLOOKUP(A24,'2025 все бани'!$1:$5,3,FALSE)</f>
        <v>7</v>
      </c>
      <c r="G24" s="6">
        <f>HLOOKUP(A24,'2025 все бани'!$1:$5,2,FALSE)</f>
        <v>7</v>
      </c>
      <c r="H24" s="4">
        <v>0.0</v>
      </c>
      <c r="I24" s="4">
        <v>0.0</v>
      </c>
      <c r="J24" s="4">
        <v>0.0</v>
      </c>
      <c r="K24" s="4">
        <v>0.0</v>
      </c>
      <c r="L24" s="4">
        <v>0.0</v>
      </c>
      <c r="M24" s="4">
        <v>0.0</v>
      </c>
      <c r="N24" s="4">
        <f>6/10</f>
        <v>0.6</v>
      </c>
      <c r="O24" s="4">
        <v>0.0</v>
      </c>
      <c r="P24" s="4">
        <v>0.0</v>
      </c>
      <c r="Q24" s="4">
        <v>0.0</v>
      </c>
      <c r="R24" s="4">
        <v>0.0</v>
      </c>
      <c r="S24" s="4">
        <v>0.0</v>
      </c>
      <c r="T24" s="4">
        <v>0.0</v>
      </c>
      <c r="U24" s="4">
        <v>0.0</v>
      </c>
      <c r="V24" s="4">
        <v>0.0</v>
      </c>
      <c r="W24" s="4">
        <v>0.0</v>
      </c>
      <c r="X24" s="7">
        <f t="shared" si="37"/>
        <v>0.1111111111</v>
      </c>
      <c r="Y24" s="4">
        <v>1.0</v>
      </c>
      <c r="Z24" s="4">
        <v>0.0</v>
      </c>
      <c r="AA24" s="4">
        <v>0.0</v>
      </c>
      <c r="AB24" s="4">
        <v>0.0</v>
      </c>
      <c r="AC24" s="4">
        <v>0.0</v>
      </c>
      <c r="AD24" s="4">
        <v>0.0</v>
      </c>
      <c r="AE24" s="4">
        <v>0.0</v>
      </c>
      <c r="AF24" s="4">
        <v>0.0</v>
      </c>
      <c r="AG24" s="4">
        <v>0.0</v>
      </c>
      <c r="AH24" s="4">
        <v>0.0</v>
      </c>
      <c r="AI24" s="4">
        <v>0.0</v>
      </c>
      <c r="AJ24" s="4">
        <v>0.0</v>
      </c>
      <c r="AK24" s="7">
        <f t="shared" si="38"/>
        <v>0.09090909091</v>
      </c>
      <c r="AL24" s="4">
        <v>0.0</v>
      </c>
      <c r="AM24" s="4">
        <v>0.0</v>
      </c>
      <c r="AN24" s="4">
        <v>0.0</v>
      </c>
      <c r="AO24" s="4">
        <v>0.0</v>
      </c>
      <c r="AP24" s="4">
        <v>0.0</v>
      </c>
      <c r="AQ24" s="4">
        <v>0.0</v>
      </c>
      <c r="AR24" s="4">
        <v>0.0</v>
      </c>
      <c r="AS24" s="4">
        <v>0.0</v>
      </c>
      <c r="AT24" s="4">
        <v>0.0</v>
      </c>
      <c r="AU24" s="4">
        <v>0.0</v>
      </c>
      <c r="AV24" s="4">
        <v>0.0</v>
      </c>
      <c r="AW24" s="4">
        <v>0.0</v>
      </c>
      <c r="AX24" s="4">
        <v>0.0</v>
      </c>
      <c r="AY24" s="4">
        <v>0.0</v>
      </c>
      <c r="AZ24" s="4">
        <v>0.0</v>
      </c>
      <c r="BA24" s="4">
        <v>0.0</v>
      </c>
      <c r="BB24" s="4">
        <v>0.0</v>
      </c>
      <c r="BC24" s="4">
        <v>0.0</v>
      </c>
      <c r="BD24" s="7">
        <v>0.0</v>
      </c>
      <c r="BE24" s="4">
        <v>0.0</v>
      </c>
      <c r="BF24" s="4">
        <v>0.0</v>
      </c>
      <c r="BG24" s="4">
        <v>0.0</v>
      </c>
      <c r="BH24" s="4">
        <v>0.0</v>
      </c>
    </row>
    <row r="25">
      <c r="A25" s="4" t="s">
        <v>1262</v>
      </c>
      <c r="B25" s="16">
        <f t="shared" si="1"/>
        <v>23.41111111</v>
      </c>
      <c r="C25" s="6">
        <f>VLOOKUP(A25,'2025 недельный зачет'!$A:$B,2,FALSE)</f>
        <v>6</v>
      </c>
      <c r="D25" s="6">
        <f>HLOOKUP(A25,'2025 все бани'!$1:$5,5,FALSE)</f>
        <v>5</v>
      </c>
      <c r="E25" s="6">
        <f>HLOOKUP(A25,'2025 все бани'!$1:$5,4,FALSE)</f>
        <v>1</v>
      </c>
      <c r="F25" s="6">
        <f>HLOOKUP(A25,'2025 все бани'!$1:$5,3,FALSE)</f>
        <v>5</v>
      </c>
      <c r="G25" s="6">
        <f>HLOOKUP(A25,'2025 все бани'!$1:$5,2,FALSE)</f>
        <v>6</v>
      </c>
      <c r="H25" s="4">
        <v>0.0</v>
      </c>
      <c r="I25" s="4">
        <v>0.0</v>
      </c>
      <c r="J25" s="4">
        <v>0.0</v>
      </c>
      <c r="K25" s="4">
        <v>0.0</v>
      </c>
      <c r="L25" s="4">
        <v>0.0</v>
      </c>
      <c r="M25" s="4">
        <v>0.0</v>
      </c>
      <c r="N25" s="4">
        <v>0.0</v>
      </c>
      <c r="O25" s="4">
        <v>0.0</v>
      </c>
      <c r="P25" s="4">
        <v>0.0</v>
      </c>
      <c r="Q25" s="4">
        <v>0.0</v>
      </c>
      <c r="R25" s="4">
        <v>0.0</v>
      </c>
      <c r="S25" s="4">
        <v>0.0</v>
      </c>
      <c r="T25" s="4">
        <v>0.0</v>
      </c>
      <c r="U25" s="4">
        <v>0.0</v>
      </c>
      <c r="V25" s="4">
        <v>0.0</v>
      </c>
      <c r="W25" s="4">
        <v>0.0</v>
      </c>
      <c r="X25" s="7">
        <f t="shared" si="37"/>
        <v>0.1111111111</v>
      </c>
      <c r="Y25" s="4">
        <v>0.0</v>
      </c>
      <c r="Z25" s="4">
        <v>0.0</v>
      </c>
      <c r="AA25" s="4">
        <v>0.0</v>
      </c>
      <c r="AB25" s="4">
        <v>0.0</v>
      </c>
      <c r="AC25" s="4">
        <v>0.0</v>
      </c>
      <c r="AD25" s="4">
        <v>0.0</v>
      </c>
      <c r="AE25" s="4">
        <v>0.0</v>
      </c>
      <c r="AF25" s="4">
        <v>0.0</v>
      </c>
      <c r="AG25" s="4">
        <v>0.0</v>
      </c>
      <c r="AH25" s="4">
        <v>0.0</v>
      </c>
      <c r="AI25" s="4">
        <v>0.0</v>
      </c>
      <c r="AJ25" s="4">
        <v>0.0</v>
      </c>
      <c r="AK25" s="4">
        <v>0.0</v>
      </c>
      <c r="AL25" s="4">
        <v>0.0</v>
      </c>
      <c r="AM25" s="4">
        <v>0.0</v>
      </c>
      <c r="AN25" s="4">
        <v>0.0</v>
      </c>
      <c r="AO25" s="4">
        <v>0.0</v>
      </c>
      <c r="AP25" s="4">
        <v>0.0</v>
      </c>
      <c r="AQ25" s="4">
        <v>0.0</v>
      </c>
      <c r="AR25" s="4">
        <v>0.0</v>
      </c>
      <c r="AS25" s="4">
        <v>0.0</v>
      </c>
      <c r="AT25" s="4">
        <v>0.0</v>
      </c>
      <c r="AU25" s="4">
        <v>0.0</v>
      </c>
      <c r="AV25" s="7">
        <v>0.3</v>
      </c>
      <c r="AW25" s="4">
        <v>0.0</v>
      </c>
      <c r="AX25" s="4">
        <v>0.0</v>
      </c>
      <c r="AY25" s="4">
        <v>0.0</v>
      </c>
      <c r="AZ25" s="4">
        <v>0.0</v>
      </c>
      <c r="BA25" s="4">
        <v>0.0</v>
      </c>
      <c r="BB25" s="4">
        <v>0.0</v>
      </c>
      <c r="BC25" s="4">
        <v>0.0</v>
      </c>
      <c r="BD25" s="7">
        <v>0.0</v>
      </c>
      <c r="BE25" s="4">
        <v>0.0</v>
      </c>
      <c r="BF25" s="4">
        <v>0.0</v>
      </c>
      <c r="BG25" s="4">
        <v>0.0</v>
      </c>
      <c r="BH25" s="4">
        <v>0.0</v>
      </c>
    </row>
    <row r="26">
      <c r="A26" s="4" t="s">
        <v>42</v>
      </c>
      <c r="B26" s="16">
        <f t="shared" si="1"/>
        <v>23.09090909</v>
      </c>
      <c r="C26" s="6">
        <f>VLOOKUP(A26,'2025 недельный зачет'!$A:$B,2,FALSE)</f>
        <v>5</v>
      </c>
      <c r="D26" s="6">
        <f>HLOOKUP(A26,'2025 все бани'!$1:$5,5,FALSE)</f>
        <v>5</v>
      </c>
      <c r="E26" s="6">
        <f>HLOOKUP(A26,'2025 все бани'!$1:$5,4,FALSE)</f>
        <v>3</v>
      </c>
      <c r="F26" s="6">
        <f>HLOOKUP(A26,'2025 все бани'!$1:$5,3,FALSE)</f>
        <v>3</v>
      </c>
      <c r="G26" s="6">
        <f>HLOOKUP(A26,'2025 все бани'!$1:$5,2,FALSE)</f>
        <v>6</v>
      </c>
      <c r="H26" s="4">
        <v>0.0</v>
      </c>
      <c r="I26" s="4">
        <v>0.0</v>
      </c>
      <c r="J26" s="4">
        <v>0.0</v>
      </c>
      <c r="K26" s="4">
        <v>0.0</v>
      </c>
      <c r="L26" s="4">
        <v>0.0</v>
      </c>
      <c r="M26" s="4">
        <v>0.0</v>
      </c>
      <c r="N26" s="4">
        <v>0.0</v>
      </c>
      <c r="O26" s="4">
        <v>0.0</v>
      </c>
      <c r="P26" s="4">
        <v>0.0</v>
      </c>
      <c r="Q26" s="4">
        <v>0.0</v>
      </c>
      <c r="R26" s="4">
        <v>0.0</v>
      </c>
      <c r="S26" s="4">
        <v>0.0</v>
      </c>
      <c r="T26" s="4">
        <v>0.0</v>
      </c>
      <c r="U26" s="4">
        <v>0.0</v>
      </c>
      <c r="V26" s="4">
        <v>0.0</v>
      </c>
      <c r="W26" s="4">
        <v>0.0</v>
      </c>
      <c r="X26" s="4">
        <v>0.0</v>
      </c>
      <c r="Y26" s="4">
        <v>1.0</v>
      </c>
      <c r="Z26" s="4">
        <v>0.0</v>
      </c>
      <c r="AA26" s="4">
        <v>0.0</v>
      </c>
      <c r="AB26" s="4">
        <v>0.0</v>
      </c>
      <c r="AC26" s="4">
        <v>0.0</v>
      </c>
      <c r="AD26" s="4">
        <v>0.0</v>
      </c>
      <c r="AE26" s="4">
        <v>0.0</v>
      </c>
      <c r="AF26" s="4">
        <v>0.0</v>
      </c>
      <c r="AG26" s="4">
        <v>0.0</v>
      </c>
      <c r="AH26" s="4">
        <v>0.0</v>
      </c>
      <c r="AI26" s="4">
        <v>0.0</v>
      </c>
      <c r="AJ26" s="4">
        <v>0.0</v>
      </c>
      <c r="AK26" s="4">
        <v>0.0</v>
      </c>
      <c r="AL26" s="4">
        <v>0.0</v>
      </c>
      <c r="AM26" s="4">
        <v>0.0</v>
      </c>
      <c r="AN26" s="4">
        <v>0.0</v>
      </c>
      <c r="AO26" s="4">
        <v>0.0</v>
      </c>
      <c r="AP26" s="4">
        <v>0.0</v>
      </c>
      <c r="AQ26" s="4">
        <v>0.0</v>
      </c>
      <c r="AR26" s="4">
        <v>0.0</v>
      </c>
      <c r="AS26" s="4">
        <v>0.0</v>
      </c>
      <c r="AT26" s="4">
        <v>0.0</v>
      </c>
      <c r="AU26" s="4">
        <v>0.0</v>
      </c>
      <c r="AV26" s="4">
        <v>0.0</v>
      </c>
      <c r="AW26" s="4">
        <v>0.0</v>
      </c>
      <c r="AX26" s="4">
        <v>0.0</v>
      </c>
      <c r="AY26" s="4">
        <v>0.0</v>
      </c>
      <c r="AZ26" s="7">
        <v>0.09090909091</v>
      </c>
      <c r="BA26" s="4">
        <v>0.0</v>
      </c>
      <c r="BB26" s="4">
        <v>0.0</v>
      </c>
      <c r="BC26" s="4">
        <v>0.0</v>
      </c>
      <c r="BD26" s="7">
        <v>0.0</v>
      </c>
      <c r="BE26" s="4">
        <v>0.0</v>
      </c>
      <c r="BF26" s="4">
        <v>0.0</v>
      </c>
      <c r="BG26" s="4">
        <v>0.0</v>
      </c>
      <c r="BH26" s="4">
        <v>0.0</v>
      </c>
    </row>
    <row r="27">
      <c r="A27" s="4" t="s">
        <v>45</v>
      </c>
      <c r="B27" s="16">
        <f t="shared" si="1"/>
        <v>22.8020202</v>
      </c>
      <c r="C27" s="6">
        <f>VLOOKUP(A27,'2025 недельный зачет'!$A:$B,2,FALSE)</f>
        <v>5</v>
      </c>
      <c r="D27" s="6">
        <f>HLOOKUP(A27,'2025 все бани'!$1:$5,5,FALSE)</f>
        <v>4</v>
      </c>
      <c r="E27" s="6">
        <f>HLOOKUP(A27,'2025 все бани'!$1:$5,4,FALSE)</f>
        <v>1</v>
      </c>
      <c r="F27" s="6">
        <f>HLOOKUP(A27,'2025 все бани'!$1:$5,3,FALSE)</f>
        <v>5</v>
      </c>
      <c r="G27" s="6">
        <f>HLOOKUP(A27,'2025 все бани'!$1:$5,2,FALSE)</f>
        <v>7</v>
      </c>
      <c r="H27" s="4">
        <v>0.0</v>
      </c>
      <c r="I27" s="4">
        <v>0.0</v>
      </c>
      <c r="J27" s="4">
        <v>0.0</v>
      </c>
      <c r="K27" s="4">
        <v>0.0</v>
      </c>
      <c r="L27" s="4">
        <v>0.0</v>
      </c>
      <c r="M27" s="4">
        <v>0.0</v>
      </c>
      <c r="N27" s="4">
        <f>6/10</f>
        <v>0.6</v>
      </c>
      <c r="O27" s="4">
        <v>0.0</v>
      </c>
      <c r="P27" s="4">
        <v>0.0</v>
      </c>
      <c r="Q27" s="4">
        <v>0.0</v>
      </c>
      <c r="R27" s="4">
        <v>0.0</v>
      </c>
      <c r="S27" s="4">
        <v>0.0</v>
      </c>
      <c r="T27" s="4">
        <v>0.0</v>
      </c>
      <c r="U27" s="4">
        <v>0.0</v>
      </c>
      <c r="V27" s="4">
        <v>0.0</v>
      </c>
      <c r="W27" s="4">
        <v>0.0</v>
      </c>
      <c r="X27" s="7">
        <f t="shared" ref="X27:X28" si="39">1/9</f>
        <v>0.1111111111</v>
      </c>
      <c r="Y27" s="4">
        <v>0.0</v>
      </c>
      <c r="Z27" s="4">
        <v>0.0</v>
      </c>
      <c r="AA27" s="4">
        <v>0.0</v>
      </c>
      <c r="AB27" s="4">
        <v>0.0</v>
      </c>
      <c r="AC27" s="4">
        <v>0.0</v>
      </c>
      <c r="AD27" s="4">
        <v>0.0</v>
      </c>
      <c r="AE27" s="4">
        <v>0.0</v>
      </c>
      <c r="AF27" s="4">
        <v>0.0</v>
      </c>
      <c r="AG27" s="4">
        <v>0.0</v>
      </c>
      <c r="AH27" s="4">
        <v>0.0</v>
      </c>
      <c r="AI27" s="4">
        <v>0.0</v>
      </c>
      <c r="AJ27" s="4">
        <v>0.0</v>
      </c>
      <c r="AK27" s="7">
        <f t="shared" ref="AK27:AK28" si="40">1/11</f>
        <v>0.09090909091</v>
      </c>
      <c r="AL27" s="4">
        <v>0.0</v>
      </c>
      <c r="AM27" s="4">
        <v>0.0</v>
      </c>
      <c r="AN27" s="4">
        <v>0.0</v>
      </c>
      <c r="AO27" s="4">
        <v>0.0</v>
      </c>
      <c r="AP27" s="4">
        <v>0.0</v>
      </c>
      <c r="AQ27" s="4">
        <v>0.0</v>
      </c>
      <c r="AR27" s="4">
        <v>0.0</v>
      </c>
      <c r="AS27" s="4">
        <v>0.0</v>
      </c>
      <c r="AT27" s="4">
        <v>0.0</v>
      </c>
      <c r="AU27" s="4">
        <v>0.0</v>
      </c>
      <c r="AV27" s="4">
        <v>0.0</v>
      </c>
      <c r="AW27" s="4">
        <v>0.0</v>
      </c>
      <c r="AX27" s="4">
        <v>0.0</v>
      </c>
      <c r="AY27" s="4">
        <v>0.0</v>
      </c>
      <c r="AZ27" s="4">
        <v>0.0</v>
      </c>
      <c r="BA27" s="4">
        <v>0.0</v>
      </c>
      <c r="BB27" s="4">
        <v>0.0</v>
      </c>
      <c r="BC27" s="4">
        <v>0.0</v>
      </c>
      <c r="BD27" s="7">
        <v>0.0</v>
      </c>
      <c r="BE27" s="4">
        <v>0.0</v>
      </c>
      <c r="BF27" s="4">
        <v>0.0</v>
      </c>
      <c r="BG27" s="4">
        <v>0.0</v>
      </c>
      <c r="BH27" s="4">
        <v>0.0</v>
      </c>
    </row>
    <row r="28">
      <c r="A28" s="4" t="s">
        <v>48</v>
      </c>
      <c r="B28" s="16">
        <f t="shared" si="1"/>
        <v>18.2020202</v>
      </c>
      <c r="C28" s="6">
        <f>VLOOKUP(A28,'2025 недельный зачет'!$A:$B,2,FALSE)</f>
        <v>4</v>
      </c>
      <c r="D28" s="6">
        <f>HLOOKUP(A28,'2025 все бани'!$1:$5,5,FALSE)</f>
        <v>3</v>
      </c>
      <c r="E28" s="6">
        <f>HLOOKUP(A28,'2025 все бани'!$1:$5,4,FALSE)</f>
        <v>1</v>
      </c>
      <c r="F28" s="6">
        <f>HLOOKUP(A28,'2025 все бани'!$1:$5,3,FALSE)</f>
        <v>4</v>
      </c>
      <c r="G28" s="6">
        <f>HLOOKUP(A28,'2025 все бани'!$1:$5,2,FALSE)</f>
        <v>6</v>
      </c>
      <c r="H28" s="4">
        <v>0.0</v>
      </c>
      <c r="I28" s="4">
        <v>0.0</v>
      </c>
      <c r="J28" s="4">
        <v>0.0</v>
      </c>
      <c r="K28" s="4">
        <v>0.0</v>
      </c>
      <c r="L28" s="4">
        <v>0.0</v>
      </c>
      <c r="M28" s="4">
        <v>0.0</v>
      </c>
      <c r="N28" s="4">
        <v>0.0</v>
      </c>
      <c r="O28" s="4">
        <v>0.0</v>
      </c>
      <c r="P28" s="4">
        <v>0.0</v>
      </c>
      <c r="Q28" s="4">
        <v>0.0</v>
      </c>
      <c r="R28" s="4">
        <v>0.0</v>
      </c>
      <c r="S28" s="4">
        <v>0.0</v>
      </c>
      <c r="T28" s="4">
        <v>0.0</v>
      </c>
      <c r="U28" s="4">
        <v>0.0</v>
      </c>
      <c r="V28" s="4">
        <v>0.0</v>
      </c>
      <c r="W28" s="4">
        <v>0.0</v>
      </c>
      <c r="X28" s="7">
        <f t="shared" si="39"/>
        <v>0.1111111111</v>
      </c>
      <c r="Y28" s="4">
        <v>0.0</v>
      </c>
      <c r="Z28" s="4">
        <v>0.0</v>
      </c>
      <c r="AA28" s="4">
        <v>0.0</v>
      </c>
      <c r="AB28" s="4">
        <v>0.0</v>
      </c>
      <c r="AC28" s="4">
        <v>0.0</v>
      </c>
      <c r="AD28" s="4">
        <v>0.0</v>
      </c>
      <c r="AE28" s="4">
        <v>0.0</v>
      </c>
      <c r="AF28" s="4">
        <v>0.0</v>
      </c>
      <c r="AG28" s="4">
        <v>0.0</v>
      </c>
      <c r="AH28" s="4">
        <v>0.0</v>
      </c>
      <c r="AI28" s="4">
        <v>0.0</v>
      </c>
      <c r="AJ28" s="4">
        <v>0.0</v>
      </c>
      <c r="AK28" s="7">
        <f t="shared" si="40"/>
        <v>0.09090909091</v>
      </c>
      <c r="AL28" s="4">
        <v>0.0</v>
      </c>
      <c r="AM28" s="4">
        <v>0.0</v>
      </c>
      <c r="AN28" s="4">
        <v>0.0</v>
      </c>
      <c r="AO28" s="4">
        <v>0.0</v>
      </c>
      <c r="AP28" s="4">
        <v>0.0</v>
      </c>
      <c r="AQ28" s="4">
        <v>0.0</v>
      </c>
      <c r="AR28" s="4">
        <v>0.0</v>
      </c>
      <c r="AS28" s="4">
        <v>0.0</v>
      </c>
      <c r="AT28" s="4">
        <v>0.0</v>
      </c>
      <c r="AU28" s="4">
        <v>0.0</v>
      </c>
      <c r="AV28" s="4">
        <v>0.0</v>
      </c>
      <c r="AW28" s="4">
        <v>0.0</v>
      </c>
      <c r="AX28" s="4">
        <v>0.0</v>
      </c>
      <c r="AY28" s="4">
        <v>0.0</v>
      </c>
      <c r="AZ28" s="4">
        <v>0.0</v>
      </c>
      <c r="BA28" s="4">
        <v>0.0</v>
      </c>
      <c r="BB28" s="4">
        <v>0.0</v>
      </c>
      <c r="BC28" s="4">
        <v>0.0</v>
      </c>
      <c r="BD28" s="7">
        <v>0.0</v>
      </c>
      <c r="BE28" s="4">
        <v>0.0</v>
      </c>
      <c r="BF28" s="4">
        <v>0.0</v>
      </c>
      <c r="BG28" s="4">
        <v>0.0</v>
      </c>
      <c r="BH28" s="4">
        <v>0.0</v>
      </c>
    </row>
    <row r="29">
      <c r="A29" s="4" t="s">
        <v>36</v>
      </c>
      <c r="B29" s="16">
        <f t="shared" si="1"/>
        <v>17.02424242</v>
      </c>
      <c r="C29" s="6">
        <f>VLOOKUP(A29,'2025 недельный зачет'!$A:$B,2,FALSE)</f>
        <v>4</v>
      </c>
      <c r="D29" s="6">
        <f>HLOOKUP(A29,'2025 все бани'!$1:$5,5,FALSE)</f>
        <v>4</v>
      </c>
      <c r="E29" s="6">
        <f>HLOOKUP(A29,'2025 все бани'!$1:$5,4,FALSE)</f>
        <v>4</v>
      </c>
      <c r="F29" s="6">
        <f>HLOOKUP(A29,'2025 все бани'!$1:$5,3,FALSE)</f>
        <v>1</v>
      </c>
      <c r="G29" s="6">
        <f>HLOOKUP(A29,'2025 все бани'!$1:$5,2,FALSE)</f>
        <v>0</v>
      </c>
      <c r="H29" s="4">
        <v>0.0</v>
      </c>
      <c r="I29" s="4">
        <v>0.0</v>
      </c>
      <c r="J29" s="4">
        <v>0.0</v>
      </c>
      <c r="K29" s="4">
        <f>3/5</f>
        <v>0.6</v>
      </c>
      <c r="L29" s="4">
        <v>0.0</v>
      </c>
      <c r="M29" s="4">
        <v>0.0</v>
      </c>
      <c r="N29" s="4">
        <v>0.0</v>
      </c>
      <c r="O29" s="4">
        <v>0.0</v>
      </c>
      <c r="P29" s="4">
        <v>0.0</v>
      </c>
      <c r="Q29" s="4">
        <v>0.0</v>
      </c>
      <c r="R29" s="4">
        <v>0.0</v>
      </c>
      <c r="S29" s="4">
        <v>0.0</v>
      </c>
      <c r="T29" s="4">
        <v>0.0</v>
      </c>
      <c r="U29" s="4">
        <v>0.0</v>
      </c>
      <c r="V29" s="4">
        <v>0.0</v>
      </c>
      <c r="W29" s="4">
        <v>0.0</v>
      </c>
      <c r="X29" s="4">
        <v>0.0</v>
      </c>
      <c r="Y29" s="4">
        <v>0.0</v>
      </c>
      <c r="Z29" s="4">
        <v>0.0</v>
      </c>
      <c r="AA29" s="4">
        <v>0.0</v>
      </c>
      <c r="AB29" s="4">
        <v>0.0</v>
      </c>
      <c r="AC29" s="4">
        <v>0.0</v>
      </c>
      <c r="AD29" s="4">
        <v>0.0</v>
      </c>
      <c r="AE29" s="4">
        <v>0.0</v>
      </c>
      <c r="AF29" s="4">
        <v>0.0</v>
      </c>
      <c r="AG29" s="4">
        <v>0.0</v>
      </c>
      <c r="AH29" s="4">
        <v>0.0</v>
      </c>
      <c r="AI29" s="4">
        <v>0.0</v>
      </c>
      <c r="AJ29" s="4">
        <v>0.0</v>
      </c>
      <c r="AK29" s="4">
        <v>0.0</v>
      </c>
      <c r="AL29" s="4">
        <v>0.0</v>
      </c>
      <c r="AM29" s="4">
        <v>0.0</v>
      </c>
      <c r="AN29" s="4">
        <v>0.0</v>
      </c>
      <c r="AO29" s="4">
        <v>0.0</v>
      </c>
      <c r="AP29" s="4">
        <v>0.0</v>
      </c>
      <c r="AQ29" s="4">
        <v>0.0</v>
      </c>
      <c r="AR29" s="4">
        <v>0.0</v>
      </c>
      <c r="AS29" s="4">
        <v>0.0</v>
      </c>
      <c r="AT29" s="4">
        <v>0.0</v>
      </c>
      <c r="AU29" s="4">
        <v>0.0</v>
      </c>
      <c r="AV29" s="4">
        <v>0.0</v>
      </c>
      <c r="AW29" s="4">
        <v>0.0</v>
      </c>
      <c r="AX29" s="4">
        <v>0.0</v>
      </c>
      <c r="AY29" s="4">
        <v>0.0</v>
      </c>
      <c r="AZ29" s="7">
        <v>3.333333333</v>
      </c>
      <c r="BA29" s="4">
        <v>0.0</v>
      </c>
      <c r="BB29" s="4">
        <v>0.0</v>
      </c>
      <c r="BC29" s="4">
        <v>0.0</v>
      </c>
      <c r="BD29" s="7">
        <v>0.0</v>
      </c>
      <c r="BE29" s="7">
        <f>1/11</f>
        <v>0.09090909091</v>
      </c>
      <c r="BF29" s="4">
        <v>0.0</v>
      </c>
      <c r="BG29" s="4">
        <v>0.0</v>
      </c>
      <c r="BH29" s="4">
        <v>0.0</v>
      </c>
    </row>
    <row r="30">
      <c r="A30" s="4" t="s">
        <v>41</v>
      </c>
      <c r="B30" s="16">
        <f t="shared" si="1"/>
        <v>17</v>
      </c>
      <c r="C30" s="6">
        <f>VLOOKUP(A30,'2025 недельный зачет'!$A:$B,2,FALSE)</f>
        <v>4</v>
      </c>
      <c r="D30" s="6">
        <f>HLOOKUP(A30,'2025 все бани'!$1:$5,5,FALSE)</f>
        <v>3</v>
      </c>
      <c r="E30" s="6">
        <f>HLOOKUP(A30,'2025 все бани'!$1:$5,4,FALSE)</f>
        <v>0</v>
      </c>
      <c r="F30" s="6">
        <f>HLOOKUP(A30,'2025 все бани'!$1:$5,3,FALSE)</f>
        <v>4</v>
      </c>
      <c r="G30" s="6">
        <f>HLOOKUP(A30,'2025 все бани'!$1:$5,2,FALSE)</f>
        <v>6</v>
      </c>
      <c r="H30" s="4">
        <v>0.0</v>
      </c>
      <c r="I30" s="4">
        <v>0.0</v>
      </c>
      <c r="J30" s="4">
        <v>0.0</v>
      </c>
      <c r="K30" s="4">
        <v>0.0</v>
      </c>
      <c r="L30" s="4">
        <v>0.0</v>
      </c>
      <c r="M30" s="4">
        <v>0.0</v>
      </c>
      <c r="N30" s="4">
        <v>0.0</v>
      </c>
      <c r="O30" s="4">
        <v>0.0</v>
      </c>
      <c r="P30" s="4">
        <v>0.0</v>
      </c>
      <c r="Q30" s="4">
        <v>0.0</v>
      </c>
      <c r="R30" s="4">
        <v>0.0</v>
      </c>
      <c r="S30" s="4">
        <v>0.0</v>
      </c>
      <c r="T30" s="4">
        <v>0.0</v>
      </c>
      <c r="U30" s="4">
        <v>0.0</v>
      </c>
      <c r="V30" s="4">
        <v>0.0</v>
      </c>
      <c r="W30" s="4">
        <v>0.0</v>
      </c>
      <c r="X30" s="4">
        <v>0.0</v>
      </c>
      <c r="Y30" s="4">
        <v>0.0</v>
      </c>
      <c r="Z30" s="4">
        <v>0.0</v>
      </c>
      <c r="AA30" s="4">
        <v>0.0</v>
      </c>
      <c r="AB30" s="4">
        <v>0.0</v>
      </c>
      <c r="AC30" s="4">
        <v>0.0</v>
      </c>
      <c r="AD30" s="4">
        <v>0.0</v>
      </c>
      <c r="AE30" s="4">
        <v>0.0</v>
      </c>
      <c r="AF30" s="4">
        <v>0.0</v>
      </c>
      <c r="AG30" s="4">
        <v>0.0</v>
      </c>
      <c r="AH30" s="4">
        <v>0.0</v>
      </c>
      <c r="AI30" s="4">
        <v>0.0</v>
      </c>
      <c r="AJ30" s="4">
        <v>0.0</v>
      </c>
      <c r="AK30" s="4">
        <v>0.0</v>
      </c>
      <c r="AL30" s="4">
        <v>0.0</v>
      </c>
      <c r="AM30" s="4">
        <v>0.0</v>
      </c>
      <c r="AN30" s="4">
        <v>0.0</v>
      </c>
      <c r="AO30" s="4">
        <v>0.0</v>
      </c>
      <c r="AP30" s="4">
        <v>0.0</v>
      </c>
      <c r="AQ30" s="4">
        <v>0.0</v>
      </c>
      <c r="AR30" s="4">
        <v>0.0</v>
      </c>
      <c r="AS30" s="4">
        <v>0.0</v>
      </c>
      <c r="AT30" s="4">
        <v>0.0</v>
      </c>
      <c r="AU30" s="4">
        <v>0.0</v>
      </c>
      <c r="AV30" s="4">
        <v>0.0</v>
      </c>
      <c r="AW30" s="4">
        <v>0.0</v>
      </c>
      <c r="AX30" s="4">
        <v>0.0</v>
      </c>
      <c r="AY30" s="4">
        <v>0.0</v>
      </c>
      <c r="AZ30" s="4">
        <v>0.0</v>
      </c>
      <c r="BA30" s="4">
        <v>0.0</v>
      </c>
      <c r="BB30" s="4">
        <v>0.0</v>
      </c>
      <c r="BC30" s="4">
        <v>0.0</v>
      </c>
      <c r="BD30" s="7">
        <v>0.0</v>
      </c>
      <c r="BE30" s="4">
        <v>0.0</v>
      </c>
      <c r="BF30" s="4">
        <v>0.0</v>
      </c>
      <c r="BG30" s="4">
        <v>0.0</v>
      </c>
      <c r="BH30" s="4">
        <v>0.0</v>
      </c>
    </row>
    <row r="31">
      <c r="A31" s="4" t="s">
        <v>50</v>
      </c>
      <c r="B31" s="16">
        <f t="shared" si="1"/>
        <v>14.5</v>
      </c>
      <c r="C31" s="6">
        <f>VLOOKUP(A31,'2025 недельный зачет'!$A:$B,2,FALSE)</f>
        <v>3</v>
      </c>
      <c r="D31" s="6">
        <f>HLOOKUP(A31,'2025 все бани'!$1:$5,5,FALSE)</f>
        <v>2</v>
      </c>
      <c r="E31" s="6">
        <f>HLOOKUP(A31,'2025 все бани'!$1:$5,4,FALSE)</f>
        <v>1</v>
      </c>
      <c r="F31" s="6">
        <f>HLOOKUP(A31,'2025 все бани'!$1:$5,3,FALSE)</f>
        <v>2</v>
      </c>
      <c r="G31" s="6">
        <f>HLOOKUP(A31,'2025 все бани'!$1:$5,2,FALSE)</f>
        <v>6</v>
      </c>
      <c r="H31" s="4">
        <v>0.0</v>
      </c>
      <c r="I31" s="4">
        <v>0.0</v>
      </c>
      <c r="J31" s="4">
        <v>0.0</v>
      </c>
      <c r="K31" s="4">
        <v>0.0</v>
      </c>
      <c r="L31" s="4">
        <v>0.0</v>
      </c>
      <c r="M31" s="4">
        <v>0.0</v>
      </c>
      <c r="N31" s="4">
        <v>0.0</v>
      </c>
      <c r="O31" s="4">
        <v>0.0</v>
      </c>
      <c r="P31" s="4">
        <v>0.0</v>
      </c>
      <c r="Q31" s="4">
        <v>0.0</v>
      </c>
      <c r="R31" s="4">
        <v>0.0</v>
      </c>
      <c r="S31" s="4">
        <v>0.0</v>
      </c>
      <c r="T31" s="4">
        <v>0.0</v>
      </c>
      <c r="U31" s="4">
        <v>0.0</v>
      </c>
      <c r="V31" s="4">
        <v>0.0</v>
      </c>
      <c r="W31" s="7">
        <v>0.5</v>
      </c>
      <c r="X31" s="4">
        <v>0.0</v>
      </c>
      <c r="Y31" s="4">
        <v>0.0</v>
      </c>
      <c r="Z31" s="4">
        <v>0.0</v>
      </c>
      <c r="AA31" s="4">
        <v>0.0</v>
      </c>
      <c r="AB31" s="4">
        <v>0.0</v>
      </c>
      <c r="AC31" s="4">
        <v>0.0</v>
      </c>
      <c r="AD31" s="4">
        <v>0.0</v>
      </c>
      <c r="AE31" s="4">
        <v>0.0</v>
      </c>
      <c r="AF31" s="4">
        <v>0.0</v>
      </c>
      <c r="AG31" s="4">
        <v>0.0</v>
      </c>
      <c r="AH31" s="4">
        <v>0.0</v>
      </c>
      <c r="AI31" s="4">
        <v>0.0</v>
      </c>
      <c r="AJ31" s="4">
        <v>0.0</v>
      </c>
      <c r="AK31" s="4">
        <v>0.0</v>
      </c>
      <c r="AL31" s="4">
        <v>0.0</v>
      </c>
      <c r="AM31" s="4">
        <v>0.0</v>
      </c>
      <c r="AN31" s="4">
        <v>0.0</v>
      </c>
      <c r="AO31" s="4">
        <v>0.0</v>
      </c>
      <c r="AP31" s="4">
        <v>0.0</v>
      </c>
      <c r="AQ31" s="4">
        <v>0.0</v>
      </c>
      <c r="AR31" s="4">
        <v>0.0</v>
      </c>
      <c r="AS31" s="4">
        <v>0.0</v>
      </c>
      <c r="AT31" s="4">
        <v>0.0</v>
      </c>
      <c r="AU31" s="4">
        <v>0.0</v>
      </c>
      <c r="AV31" s="4">
        <v>0.0</v>
      </c>
      <c r="AW31" s="4">
        <v>0.0</v>
      </c>
      <c r="AX31" s="4">
        <v>0.0</v>
      </c>
      <c r="AY31" s="4">
        <v>0.0</v>
      </c>
      <c r="AZ31" s="4">
        <v>0.0</v>
      </c>
      <c r="BA31" s="4">
        <v>0.0</v>
      </c>
      <c r="BB31" s="4">
        <v>0.0</v>
      </c>
      <c r="BC31" s="4">
        <v>0.0</v>
      </c>
      <c r="BD31" s="7">
        <v>0.0</v>
      </c>
      <c r="BE31" s="4">
        <v>0.0</v>
      </c>
      <c r="BF31" s="4">
        <v>0.0</v>
      </c>
      <c r="BG31" s="4">
        <v>0.0</v>
      </c>
      <c r="BH31" s="4">
        <v>0.0</v>
      </c>
    </row>
    <row r="32">
      <c r="A32" s="4" t="s">
        <v>49</v>
      </c>
      <c r="B32" s="16">
        <f t="shared" si="1"/>
        <v>14.16666667</v>
      </c>
      <c r="C32" s="6">
        <f>VLOOKUP(A32,'2025 недельный зачет'!$A:$B,2,FALSE)</f>
        <v>3</v>
      </c>
      <c r="D32" s="6">
        <f>HLOOKUP(A32,'2025 все бани'!$1:$5,5,FALSE)</f>
        <v>3</v>
      </c>
      <c r="E32" s="6">
        <f>HLOOKUP(A32,'2025 все бани'!$1:$5,4,FALSE)</f>
        <v>1</v>
      </c>
      <c r="F32" s="6">
        <f>HLOOKUP(A32,'2025 все бани'!$1:$5,3,FALSE)</f>
        <v>3</v>
      </c>
      <c r="G32" s="6">
        <f>HLOOKUP(A32,'2025 все бани'!$1:$5,2,FALSE)</f>
        <v>4</v>
      </c>
      <c r="H32" s="4">
        <v>0.0</v>
      </c>
      <c r="I32" s="4">
        <v>0.0</v>
      </c>
      <c r="J32" s="4">
        <v>0.0</v>
      </c>
      <c r="K32" s="4">
        <v>0.0</v>
      </c>
      <c r="L32" s="4">
        <v>0.0</v>
      </c>
      <c r="M32" s="4">
        <v>0.0</v>
      </c>
      <c r="N32" s="4">
        <v>0.0</v>
      </c>
      <c r="O32" s="4">
        <v>0.0</v>
      </c>
      <c r="P32" s="4">
        <v>0.0</v>
      </c>
      <c r="Q32" s="4">
        <v>0.0</v>
      </c>
      <c r="R32" s="4">
        <v>0.0</v>
      </c>
      <c r="S32" s="4">
        <v>0.0</v>
      </c>
      <c r="T32" s="4">
        <v>0.0</v>
      </c>
      <c r="U32" s="4">
        <v>0.0</v>
      </c>
      <c r="V32" s="4">
        <v>0.0</v>
      </c>
      <c r="W32" s="4">
        <v>0.0</v>
      </c>
      <c r="X32" s="4">
        <v>0.0</v>
      </c>
      <c r="Y32" s="4">
        <v>0.0</v>
      </c>
      <c r="Z32" s="4">
        <v>0.0</v>
      </c>
      <c r="AA32" s="4">
        <v>0.0</v>
      </c>
      <c r="AB32" s="4">
        <v>0.0</v>
      </c>
      <c r="AC32" s="4">
        <v>0.0</v>
      </c>
      <c r="AD32" s="4">
        <v>0.0</v>
      </c>
      <c r="AE32" s="4">
        <v>0.0</v>
      </c>
      <c r="AF32" s="4">
        <v>0.0</v>
      </c>
      <c r="AG32" s="4">
        <v>0.0</v>
      </c>
      <c r="AH32" s="4">
        <v>0.0</v>
      </c>
      <c r="AI32" s="4">
        <v>0.0</v>
      </c>
      <c r="AJ32" s="4">
        <v>0.0</v>
      </c>
      <c r="AK32" s="4">
        <v>0.0</v>
      </c>
      <c r="AL32" s="4">
        <v>0.0</v>
      </c>
      <c r="AM32" s="4">
        <v>0.0</v>
      </c>
      <c r="AN32" s="4">
        <v>0.0</v>
      </c>
      <c r="AO32" s="4">
        <v>0.0</v>
      </c>
      <c r="AP32" s="4">
        <v>0.0</v>
      </c>
      <c r="AQ32" s="7">
        <f>1/6</f>
        <v>0.1666666667</v>
      </c>
      <c r="AR32" s="4">
        <v>0.0</v>
      </c>
      <c r="AS32" s="4">
        <v>0.0</v>
      </c>
      <c r="AT32" s="4">
        <v>0.0</v>
      </c>
      <c r="AU32" s="4">
        <v>0.0</v>
      </c>
      <c r="AV32" s="4">
        <v>0.0</v>
      </c>
      <c r="AW32" s="4">
        <v>0.0</v>
      </c>
      <c r="AX32" s="4">
        <v>0.0</v>
      </c>
      <c r="AY32" s="4">
        <v>0.0</v>
      </c>
      <c r="AZ32" s="4">
        <v>0.0</v>
      </c>
      <c r="BA32" s="4">
        <v>0.0</v>
      </c>
      <c r="BB32" s="4">
        <v>0.0</v>
      </c>
      <c r="BC32" s="4">
        <v>0.0</v>
      </c>
      <c r="BD32" s="7">
        <v>0.0</v>
      </c>
      <c r="BE32" s="4">
        <v>0.0</v>
      </c>
      <c r="BF32" s="4">
        <v>0.0</v>
      </c>
      <c r="BG32" s="4">
        <v>0.0</v>
      </c>
      <c r="BH32" s="4">
        <v>0.0</v>
      </c>
    </row>
    <row r="33">
      <c r="A33" s="4" t="s">
        <v>44</v>
      </c>
      <c r="B33" s="16">
        <f t="shared" si="1"/>
        <v>4.222222222</v>
      </c>
      <c r="C33" s="6">
        <f>VLOOKUP(A33,'2025 недельный зачет'!$A:$B,2,FALSE)</f>
        <v>1</v>
      </c>
      <c r="D33" s="6">
        <f>HLOOKUP(A33,'2025 все бани'!$1:$5,5,FALSE)</f>
        <v>1</v>
      </c>
      <c r="E33" s="6">
        <f>HLOOKUP(A33,'2025 все бани'!$1:$5,4,FALSE)</f>
        <v>1</v>
      </c>
      <c r="F33" s="6">
        <f>HLOOKUP(A33,'2025 все бани'!$1:$5,3,FALSE)</f>
        <v>0</v>
      </c>
      <c r="G33" s="6">
        <f>HLOOKUP(A33,'2025 все бани'!$1:$5,2,FALSE)</f>
        <v>0</v>
      </c>
      <c r="H33" s="4">
        <v>0.0</v>
      </c>
      <c r="I33" s="4">
        <v>0.0</v>
      </c>
      <c r="J33" s="4">
        <v>0.0</v>
      </c>
      <c r="K33" s="4">
        <v>0.0</v>
      </c>
      <c r="L33" s="4">
        <v>0.0</v>
      </c>
      <c r="M33" s="4">
        <v>0.0</v>
      </c>
      <c r="N33" s="4">
        <v>0.0</v>
      </c>
      <c r="O33" s="4">
        <v>0.0</v>
      </c>
      <c r="P33" s="4">
        <v>0.0</v>
      </c>
      <c r="Q33" s="4">
        <v>0.0</v>
      </c>
      <c r="R33" s="4">
        <v>0.0</v>
      </c>
      <c r="S33" s="4">
        <v>0.0</v>
      </c>
      <c r="T33" s="4">
        <v>0.0</v>
      </c>
      <c r="U33" s="4">
        <v>0.0</v>
      </c>
      <c r="V33" s="7">
        <v>1.222222222</v>
      </c>
      <c r="W33" s="4">
        <v>0.0</v>
      </c>
      <c r="X33" s="4">
        <v>0.0</v>
      </c>
      <c r="Y33" s="4">
        <v>0.0</v>
      </c>
      <c r="Z33" s="4">
        <v>0.0</v>
      </c>
      <c r="AA33" s="4">
        <v>0.0</v>
      </c>
      <c r="AB33" s="4">
        <v>0.0</v>
      </c>
      <c r="AC33" s="4">
        <v>0.0</v>
      </c>
      <c r="AD33" s="4">
        <v>0.0</v>
      </c>
      <c r="AE33" s="4">
        <v>0.0</v>
      </c>
      <c r="AF33" s="4">
        <v>0.0</v>
      </c>
      <c r="AG33" s="4">
        <v>0.0</v>
      </c>
      <c r="AH33" s="4">
        <v>0.0</v>
      </c>
      <c r="AI33" s="4">
        <v>0.0</v>
      </c>
      <c r="AJ33" s="4">
        <v>0.0</v>
      </c>
      <c r="AK33" s="4">
        <v>0.0</v>
      </c>
      <c r="AL33" s="4">
        <v>0.0</v>
      </c>
      <c r="AM33" s="4">
        <v>0.0</v>
      </c>
      <c r="AN33" s="4">
        <v>0.0</v>
      </c>
      <c r="AO33" s="4">
        <v>0.0</v>
      </c>
      <c r="AP33" s="4">
        <v>0.0</v>
      </c>
      <c r="AQ33" s="4">
        <v>0.0</v>
      </c>
      <c r="AR33" s="4">
        <v>0.0</v>
      </c>
      <c r="AS33" s="4">
        <v>0.0</v>
      </c>
      <c r="AT33" s="4">
        <v>0.0</v>
      </c>
      <c r="AU33" s="4">
        <v>0.0</v>
      </c>
      <c r="AV33" s="4">
        <v>0.0</v>
      </c>
      <c r="AW33" s="4">
        <v>0.0</v>
      </c>
      <c r="AX33" s="4">
        <v>0.0</v>
      </c>
      <c r="AY33" s="4">
        <v>0.0</v>
      </c>
      <c r="AZ33" s="4">
        <v>0.0</v>
      </c>
      <c r="BA33" s="4">
        <v>0.0</v>
      </c>
      <c r="BB33" s="4">
        <v>0.0</v>
      </c>
      <c r="BC33" s="4">
        <v>0.0</v>
      </c>
      <c r="BD33" s="7">
        <v>0.0</v>
      </c>
      <c r="BE33" s="4">
        <v>0.0</v>
      </c>
      <c r="BF33" s="4">
        <v>0.0</v>
      </c>
      <c r="BG33" s="4">
        <v>0.0</v>
      </c>
      <c r="BH33" s="4">
        <v>0.0</v>
      </c>
    </row>
    <row r="34">
      <c r="A34" s="4" t="s">
        <v>47</v>
      </c>
      <c r="B34" s="16">
        <f t="shared" si="1"/>
        <v>2</v>
      </c>
      <c r="C34" s="6">
        <f>VLOOKUP(A34,'2025 недельный зачет'!$A:$B,2,FALSE)</f>
        <v>1</v>
      </c>
      <c r="D34" s="6">
        <f>HLOOKUP(A34,'2025 все бани'!$1:$5,5,FALSE)</f>
        <v>1</v>
      </c>
      <c r="E34" s="6">
        <f>HLOOKUP(A34,'2025 все бани'!$1:$5,4,FALSE)</f>
        <v>0</v>
      </c>
      <c r="F34" s="6">
        <f>HLOOKUP(A34,'2025 все бани'!$1:$5,3,FALSE)</f>
        <v>0</v>
      </c>
      <c r="G34" s="6">
        <f>HLOOKUP(A34,'2025 все бани'!$1:$5,2,FALSE)</f>
        <v>0</v>
      </c>
      <c r="H34" s="4">
        <v>0.0</v>
      </c>
      <c r="I34" s="4">
        <v>0.0</v>
      </c>
      <c r="J34" s="4">
        <v>0.0</v>
      </c>
      <c r="K34" s="4">
        <v>0.0</v>
      </c>
      <c r="L34" s="4">
        <v>0.0</v>
      </c>
      <c r="M34" s="4">
        <v>0.0</v>
      </c>
      <c r="N34" s="4">
        <v>0.0</v>
      </c>
      <c r="O34" s="4">
        <v>0.0</v>
      </c>
      <c r="P34" s="4">
        <v>0.0</v>
      </c>
      <c r="Q34" s="4">
        <v>0.0</v>
      </c>
      <c r="R34" s="4">
        <v>0.0</v>
      </c>
      <c r="S34" s="4">
        <v>0.0</v>
      </c>
      <c r="T34" s="4">
        <v>0.0</v>
      </c>
      <c r="U34" s="4">
        <v>0.0</v>
      </c>
      <c r="V34" s="4">
        <v>0.0</v>
      </c>
      <c r="W34" s="4">
        <v>0.0</v>
      </c>
      <c r="X34" s="4">
        <v>0.0</v>
      </c>
      <c r="Y34" s="4">
        <v>0.0</v>
      </c>
      <c r="Z34" s="4">
        <v>0.0</v>
      </c>
      <c r="AA34" s="4">
        <v>0.0</v>
      </c>
      <c r="AB34" s="4">
        <v>0.0</v>
      </c>
      <c r="AC34" s="4">
        <v>0.0</v>
      </c>
      <c r="AD34" s="4">
        <v>0.0</v>
      </c>
      <c r="AE34" s="4">
        <v>0.0</v>
      </c>
      <c r="AF34" s="4">
        <v>0.0</v>
      </c>
      <c r="AG34" s="4">
        <v>0.0</v>
      </c>
      <c r="AH34" s="4">
        <v>0.0</v>
      </c>
      <c r="AI34" s="4">
        <v>0.0</v>
      </c>
      <c r="AJ34" s="4">
        <v>0.0</v>
      </c>
      <c r="AK34" s="4">
        <v>0.0</v>
      </c>
      <c r="AL34" s="4">
        <v>0.0</v>
      </c>
      <c r="AM34" s="4">
        <v>0.0</v>
      </c>
      <c r="AN34" s="4">
        <v>0.0</v>
      </c>
      <c r="AO34" s="4">
        <v>0.0</v>
      </c>
      <c r="AP34" s="4">
        <v>0.0</v>
      </c>
      <c r="AQ34" s="4">
        <v>0.0</v>
      </c>
      <c r="AR34" s="4">
        <v>0.0</v>
      </c>
      <c r="AS34" s="4">
        <v>0.0</v>
      </c>
      <c r="AT34" s="4">
        <v>0.0</v>
      </c>
      <c r="AU34" s="4">
        <v>0.0</v>
      </c>
      <c r="AV34" s="4">
        <v>0.0</v>
      </c>
      <c r="AW34" s="4">
        <v>0.0</v>
      </c>
      <c r="AX34" s="4">
        <v>0.0</v>
      </c>
      <c r="AY34" s="4">
        <v>0.0</v>
      </c>
      <c r="AZ34" s="4">
        <v>0.0</v>
      </c>
      <c r="BA34" s="4">
        <v>0.0</v>
      </c>
      <c r="BB34" s="4">
        <v>0.0</v>
      </c>
      <c r="BC34" s="4">
        <v>0.0</v>
      </c>
      <c r="BD34" s="7">
        <v>0.0</v>
      </c>
      <c r="BE34" s="4">
        <v>0.0</v>
      </c>
      <c r="BF34" s="4">
        <v>0.0</v>
      </c>
      <c r="BG34" s="4">
        <v>0.0</v>
      </c>
      <c r="BH34" s="4">
        <v>0.0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8.25"/>
    <col customWidth="1" min="2" max="2" width="5.0"/>
    <col customWidth="1" min="3" max="54" width="4.0"/>
    <col customWidth="1" min="55" max="55" width="3.63"/>
  </cols>
  <sheetData>
    <row r="1">
      <c r="B1" s="3">
        <f>SUM(B3:B190)</f>
        <v>1438</v>
      </c>
      <c r="C1" s="3">
        <f t="shared" ref="C1:BC1" si="1">SUM(C3:C100)</f>
        <v>15</v>
      </c>
      <c r="D1" s="3">
        <f t="shared" si="1"/>
        <v>45</v>
      </c>
      <c r="E1" s="3">
        <f t="shared" si="1"/>
        <v>78</v>
      </c>
      <c r="F1" s="3">
        <f t="shared" si="1"/>
        <v>36</v>
      </c>
      <c r="G1" s="3">
        <f t="shared" si="1"/>
        <v>74</v>
      </c>
      <c r="H1" s="3">
        <f t="shared" si="1"/>
        <v>22</v>
      </c>
      <c r="I1" s="3">
        <f t="shared" si="1"/>
        <v>18</v>
      </c>
      <c r="J1" s="3">
        <f t="shared" si="1"/>
        <v>15</v>
      </c>
      <c r="K1" s="3">
        <f t="shared" si="1"/>
        <v>19</v>
      </c>
      <c r="L1" s="3">
        <f t="shared" si="1"/>
        <v>31</v>
      </c>
      <c r="M1" s="3">
        <f t="shared" si="1"/>
        <v>23</v>
      </c>
      <c r="N1" s="3">
        <f t="shared" si="1"/>
        <v>20</v>
      </c>
      <c r="O1" s="3">
        <f t="shared" si="1"/>
        <v>30</v>
      </c>
      <c r="P1" s="3">
        <f t="shared" si="1"/>
        <v>31</v>
      </c>
      <c r="Q1" s="3">
        <f t="shared" si="1"/>
        <v>16</v>
      </c>
      <c r="R1" s="3">
        <f t="shared" si="1"/>
        <v>15</v>
      </c>
      <c r="S1" s="3">
        <f t="shared" si="1"/>
        <v>22</v>
      </c>
      <c r="T1" s="3">
        <f t="shared" si="1"/>
        <v>16</v>
      </c>
      <c r="U1" s="3">
        <f t="shared" si="1"/>
        <v>32</v>
      </c>
      <c r="V1" s="3">
        <f t="shared" si="1"/>
        <v>21</v>
      </c>
      <c r="W1" s="3">
        <f t="shared" si="1"/>
        <v>33</v>
      </c>
      <c r="X1" s="3">
        <f t="shared" si="1"/>
        <v>23</v>
      </c>
      <c r="Y1" s="3">
        <f t="shared" si="1"/>
        <v>42</v>
      </c>
      <c r="Z1" s="3">
        <f t="shared" si="1"/>
        <v>21</v>
      </c>
      <c r="AA1" s="3">
        <f t="shared" si="1"/>
        <v>45</v>
      </c>
      <c r="AB1" s="3">
        <f t="shared" si="1"/>
        <v>23</v>
      </c>
      <c r="AC1" s="3">
        <f t="shared" si="1"/>
        <v>36</v>
      </c>
      <c r="AD1" s="3">
        <f t="shared" si="1"/>
        <v>22</v>
      </c>
      <c r="AE1" s="3">
        <f t="shared" si="1"/>
        <v>17</v>
      </c>
      <c r="AF1" s="3">
        <f t="shared" si="1"/>
        <v>24</v>
      </c>
      <c r="AG1" s="3">
        <f t="shared" si="1"/>
        <v>16</v>
      </c>
      <c r="AH1" s="3">
        <f t="shared" si="1"/>
        <v>18</v>
      </c>
      <c r="AI1" s="3">
        <f t="shared" si="1"/>
        <v>23</v>
      </c>
      <c r="AJ1" s="3">
        <f t="shared" si="1"/>
        <v>29</v>
      </c>
      <c r="AK1" s="3">
        <f t="shared" si="1"/>
        <v>27</v>
      </c>
      <c r="AL1" s="3">
        <f t="shared" si="1"/>
        <v>23</v>
      </c>
      <c r="AM1" s="3">
        <f t="shared" si="1"/>
        <v>22</v>
      </c>
      <c r="AN1" s="3">
        <f t="shared" si="1"/>
        <v>17</v>
      </c>
      <c r="AO1" s="3">
        <f t="shared" si="1"/>
        <v>20</v>
      </c>
      <c r="AP1" s="3">
        <f t="shared" si="1"/>
        <v>27</v>
      </c>
      <c r="AQ1" s="3">
        <f t="shared" si="1"/>
        <v>21</v>
      </c>
      <c r="AR1" s="3">
        <f t="shared" si="1"/>
        <v>19</v>
      </c>
      <c r="AS1" s="3">
        <f t="shared" si="1"/>
        <v>22</v>
      </c>
      <c r="AT1" s="3">
        <f t="shared" si="1"/>
        <v>23</v>
      </c>
      <c r="AU1" s="3">
        <f t="shared" si="1"/>
        <v>24</v>
      </c>
      <c r="AV1" s="3">
        <f t="shared" si="1"/>
        <v>25</v>
      </c>
      <c r="AW1" s="3">
        <f t="shared" si="1"/>
        <v>28</v>
      </c>
      <c r="AX1" s="3">
        <f t="shared" si="1"/>
        <v>27</v>
      </c>
      <c r="AY1" s="3">
        <f t="shared" si="1"/>
        <v>28</v>
      </c>
      <c r="AZ1" s="3">
        <f t="shared" si="1"/>
        <v>31</v>
      </c>
      <c r="BA1" s="3">
        <f t="shared" si="1"/>
        <v>26</v>
      </c>
      <c r="BB1" s="3">
        <f t="shared" si="1"/>
        <v>43</v>
      </c>
      <c r="BC1" s="3">
        <f t="shared" si="1"/>
        <v>34</v>
      </c>
    </row>
    <row r="2">
      <c r="B2" s="4" t="s">
        <v>51</v>
      </c>
      <c r="C2" s="4" t="s">
        <v>1218</v>
      </c>
      <c r="D2" s="4" t="s">
        <v>1219</v>
      </c>
      <c r="E2" s="4" t="s">
        <v>1220</v>
      </c>
      <c r="F2" s="4" t="s">
        <v>1221</v>
      </c>
      <c r="G2" s="4" t="s">
        <v>1222</v>
      </c>
      <c r="H2" s="4" t="s">
        <v>1223</v>
      </c>
      <c r="I2" s="4" t="s">
        <v>1224</v>
      </c>
      <c r="J2" s="4" t="s">
        <v>1225</v>
      </c>
      <c r="K2" s="4" t="s">
        <v>1226</v>
      </c>
      <c r="L2" s="4" t="s">
        <v>1227</v>
      </c>
      <c r="M2" s="4" t="s">
        <v>1228</v>
      </c>
      <c r="N2" s="4" t="s">
        <v>1229</v>
      </c>
      <c r="O2" s="4" t="s">
        <v>1230</v>
      </c>
      <c r="P2" s="4" t="s">
        <v>1231</v>
      </c>
      <c r="Q2" s="4" t="s">
        <v>1232</v>
      </c>
      <c r="R2" s="4" t="s">
        <v>1233</v>
      </c>
      <c r="S2" s="4" t="s">
        <v>1234</v>
      </c>
      <c r="T2" s="4" t="s">
        <v>1235</v>
      </c>
      <c r="U2" s="4" t="s">
        <v>1236</v>
      </c>
      <c r="V2" s="4" t="s">
        <v>1237</v>
      </c>
      <c r="W2" s="4" t="s">
        <v>1238</v>
      </c>
      <c r="X2" s="4" t="s">
        <v>1239</v>
      </c>
      <c r="Y2" s="4" t="s">
        <v>1240</v>
      </c>
      <c r="Z2" s="4" t="s">
        <v>1241</v>
      </c>
      <c r="AA2" s="4" t="s">
        <v>1242</v>
      </c>
      <c r="AB2" s="4" t="s">
        <v>1243</v>
      </c>
      <c r="AC2" s="4" t="s">
        <v>1244</v>
      </c>
      <c r="AD2" s="4" t="s">
        <v>1245</v>
      </c>
      <c r="AE2" s="4" t="s">
        <v>1246</v>
      </c>
      <c r="AF2" s="4" t="s">
        <v>1247</v>
      </c>
      <c r="AG2" s="4" t="s">
        <v>1248</v>
      </c>
      <c r="AH2" s="4" t="s">
        <v>1249</v>
      </c>
      <c r="AI2" s="4" t="s">
        <v>1250</v>
      </c>
      <c r="AJ2" s="4" t="s">
        <v>1251</v>
      </c>
      <c r="AK2" s="4" t="s">
        <v>1252</v>
      </c>
      <c r="AL2" s="4" t="s">
        <v>1253</v>
      </c>
      <c r="AM2" s="4" t="s">
        <v>1254</v>
      </c>
      <c r="AN2" s="4" t="s">
        <v>1255</v>
      </c>
      <c r="AO2" s="4" t="s">
        <v>1256</v>
      </c>
      <c r="AP2" s="4" t="s">
        <v>1257</v>
      </c>
      <c r="AQ2" s="4" t="s">
        <v>1258</v>
      </c>
      <c r="AR2" s="4" t="s">
        <v>1259</v>
      </c>
      <c r="AS2" s="4" t="s">
        <v>1260</v>
      </c>
      <c r="AT2" s="4" t="s">
        <v>1261</v>
      </c>
      <c r="AU2" s="4" t="s">
        <v>52</v>
      </c>
      <c r="AV2" s="4" t="s">
        <v>10</v>
      </c>
      <c r="AW2" s="4" t="s">
        <v>11</v>
      </c>
      <c r="AX2" s="4" t="s">
        <v>12</v>
      </c>
      <c r="AY2" s="4" t="s">
        <v>13</v>
      </c>
      <c r="AZ2" s="4" t="s">
        <v>14</v>
      </c>
      <c r="BA2" s="4" t="s">
        <v>15</v>
      </c>
      <c r="BB2" s="4" t="s">
        <v>16</v>
      </c>
      <c r="BC2" s="4" t="s">
        <v>17</v>
      </c>
    </row>
    <row r="3">
      <c r="A3" s="4" t="s">
        <v>23</v>
      </c>
      <c r="B3" s="8">
        <f t="shared" ref="B3:B35" si="2">SUM(C3:BC3)</f>
        <v>162</v>
      </c>
      <c r="C3" s="4">
        <v>1.0</v>
      </c>
      <c r="D3" s="4">
        <v>2.0</v>
      </c>
      <c r="E3" s="4">
        <v>7.0</v>
      </c>
      <c r="F3" s="4">
        <v>4.0</v>
      </c>
      <c r="G3" s="4">
        <v>4.0</v>
      </c>
      <c r="H3" s="4">
        <v>4.0</v>
      </c>
      <c r="I3" s="4">
        <v>4.0</v>
      </c>
      <c r="J3" s="4">
        <v>3.0</v>
      </c>
      <c r="K3" s="4">
        <v>3.0</v>
      </c>
      <c r="L3" s="4">
        <v>2.0</v>
      </c>
      <c r="M3" s="4">
        <v>3.0</v>
      </c>
      <c r="N3" s="4">
        <v>3.0</v>
      </c>
      <c r="O3" s="4">
        <v>3.0</v>
      </c>
      <c r="P3" s="4">
        <v>2.0</v>
      </c>
      <c r="Q3" s="4">
        <v>4.0</v>
      </c>
      <c r="R3" s="4">
        <v>2.0</v>
      </c>
      <c r="S3" s="4">
        <v>3.0</v>
      </c>
      <c r="T3" s="4">
        <v>3.0</v>
      </c>
      <c r="U3" s="4">
        <v>5.0</v>
      </c>
      <c r="V3" s="4">
        <v>1.0</v>
      </c>
      <c r="W3" s="4">
        <v>4.0</v>
      </c>
      <c r="X3" s="4">
        <v>5.0</v>
      </c>
      <c r="Y3" s="4">
        <v>3.0</v>
      </c>
      <c r="Z3" s="4">
        <v>1.0</v>
      </c>
      <c r="AA3" s="4">
        <v>1.0</v>
      </c>
      <c r="AB3" s="4">
        <v>2.0</v>
      </c>
      <c r="AC3" s="4">
        <v>4.0</v>
      </c>
      <c r="AD3" s="4">
        <v>2.0</v>
      </c>
      <c r="AE3" s="4">
        <v>3.0</v>
      </c>
      <c r="AF3" s="4">
        <v>4.0</v>
      </c>
      <c r="AG3" s="4">
        <v>3.0</v>
      </c>
      <c r="AH3" s="4">
        <v>3.0</v>
      </c>
      <c r="AI3" s="4">
        <v>2.0</v>
      </c>
      <c r="AJ3" s="4">
        <v>3.0</v>
      </c>
      <c r="AK3" s="4">
        <v>1.0</v>
      </c>
      <c r="AL3" s="4">
        <v>3.0</v>
      </c>
      <c r="AM3" s="4">
        <v>3.0</v>
      </c>
      <c r="AN3" s="4">
        <v>4.0</v>
      </c>
      <c r="AO3" s="4">
        <v>3.0</v>
      </c>
      <c r="AP3" s="4">
        <v>4.0</v>
      </c>
      <c r="AQ3" s="4">
        <v>4.0</v>
      </c>
      <c r="AR3" s="4">
        <v>3.0</v>
      </c>
      <c r="AS3" s="4">
        <v>3.0</v>
      </c>
      <c r="AT3" s="4">
        <v>2.0</v>
      </c>
      <c r="AU3" s="4">
        <v>4.0</v>
      </c>
      <c r="AV3" s="4">
        <v>3.0</v>
      </c>
      <c r="AW3" s="4">
        <v>4.0</v>
      </c>
      <c r="AX3" s="4">
        <v>4.0</v>
      </c>
      <c r="AY3" s="4">
        <v>3.0</v>
      </c>
      <c r="AZ3" s="4">
        <v>4.0</v>
      </c>
      <c r="BA3" s="4">
        <v>4.0</v>
      </c>
      <c r="BB3" s="4">
        <v>3.0</v>
      </c>
      <c r="BC3" s="4">
        <v>0.0</v>
      </c>
    </row>
    <row r="4">
      <c r="A4" s="4" t="s">
        <v>24</v>
      </c>
      <c r="B4" s="8">
        <f t="shared" si="2"/>
        <v>108</v>
      </c>
      <c r="C4" s="4">
        <v>0.0</v>
      </c>
      <c r="D4" s="4">
        <v>2.0</v>
      </c>
      <c r="E4" s="4">
        <v>8.0</v>
      </c>
      <c r="F4" s="4">
        <v>1.0</v>
      </c>
      <c r="G4" s="4">
        <v>5.0</v>
      </c>
      <c r="H4" s="4">
        <v>1.0</v>
      </c>
      <c r="I4" s="4">
        <v>1.0</v>
      </c>
      <c r="J4" s="4">
        <v>0.0</v>
      </c>
      <c r="K4" s="4">
        <v>3.0</v>
      </c>
      <c r="L4" s="4">
        <v>3.0</v>
      </c>
      <c r="M4" s="4">
        <v>1.0</v>
      </c>
      <c r="N4" s="4">
        <v>2.0</v>
      </c>
      <c r="O4" s="4">
        <v>3.0</v>
      </c>
      <c r="P4" s="4">
        <v>5.0</v>
      </c>
      <c r="Q4" s="4">
        <v>0.0</v>
      </c>
      <c r="R4" s="4">
        <v>1.0</v>
      </c>
      <c r="S4" s="4">
        <v>0.0</v>
      </c>
      <c r="T4" s="4">
        <v>1.0</v>
      </c>
      <c r="U4" s="4">
        <v>1.0</v>
      </c>
      <c r="V4" s="4">
        <v>1.0</v>
      </c>
      <c r="W4" s="4">
        <v>3.0</v>
      </c>
      <c r="X4" s="4">
        <v>1.0</v>
      </c>
      <c r="Y4" s="4">
        <v>4.0</v>
      </c>
      <c r="Z4" s="4">
        <v>0.0</v>
      </c>
      <c r="AA4" s="4">
        <v>3.0</v>
      </c>
      <c r="AB4" s="4">
        <v>0.0</v>
      </c>
      <c r="AC4" s="4">
        <v>3.0</v>
      </c>
      <c r="AD4" s="4">
        <v>2.0</v>
      </c>
      <c r="AE4" s="4">
        <v>2.0</v>
      </c>
      <c r="AF4" s="4">
        <v>1.0</v>
      </c>
      <c r="AG4" s="4">
        <v>0.0</v>
      </c>
      <c r="AH4" s="4">
        <v>4.0</v>
      </c>
      <c r="AI4" s="4">
        <v>2.0</v>
      </c>
      <c r="AJ4" s="4">
        <v>2.0</v>
      </c>
      <c r="AK4" s="4">
        <v>2.0</v>
      </c>
      <c r="AL4" s="4">
        <v>1.0</v>
      </c>
      <c r="AM4" s="4">
        <v>2.0</v>
      </c>
      <c r="AN4" s="4">
        <v>1.0</v>
      </c>
      <c r="AO4" s="4">
        <v>3.0</v>
      </c>
      <c r="AP4" s="4">
        <v>4.0</v>
      </c>
      <c r="AQ4" s="4">
        <v>3.0</v>
      </c>
      <c r="AR4" s="4">
        <v>2.0</v>
      </c>
      <c r="AS4" s="4">
        <v>3.0</v>
      </c>
      <c r="AT4" s="4">
        <v>2.0</v>
      </c>
      <c r="AU4" s="4">
        <v>3.0</v>
      </c>
      <c r="AV4" s="4">
        <v>3.0</v>
      </c>
      <c r="AW4" s="4">
        <v>3.0</v>
      </c>
      <c r="AX4" s="4">
        <v>3.0</v>
      </c>
      <c r="AY4" s="4">
        <v>1.0</v>
      </c>
      <c r="AZ4" s="4">
        <v>3.0</v>
      </c>
      <c r="BA4" s="4">
        <v>1.0</v>
      </c>
      <c r="BB4" s="4">
        <v>2.0</v>
      </c>
      <c r="BC4" s="4">
        <v>0.0</v>
      </c>
    </row>
    <row r="5">
      <c r="A5" s="4" t="s">
        <v>19</v>
      </c>
      <c r="B5" s="8">
        <f t="shared" si="2"/>
        <v>107</v>
      </c>
      <c r="C5" s="4">
        <v>3.0</v>
      </c>
      <c r="D5" s="4">
        <v>0.0</v>
      </c>
      <c r="E5" s="4">
        <v>5.0</v>
      </c>
      <c r="F5" s="4">
        <v>6.0</v>
      </c>
      <c r="G5" s="4">
        <v>1.0</v>
      </c>
      <c r="H5" s="4">
        <v>5.0</v>
      </c>
      <c r="I5" s="4">
        <v>0.0</v>
      </c>
      <c r="J5" s="4">
        <v>1.0</v>
      </c>
      <c r="K5" s="4">
        <v>0.0</v>
      </c>
      <c r="L5" s="4">
        <v>0.0</v>
      </c>
      <c r="M5" s="4">
        <v>0.0</v>
      </c>
      <c r="N5" s="4">
        <v>0.0</v>
      </c>
      <c r="O5" s="4">
        <v>6.0</v>
      </c>
      <c r="P5" s="4">
        <v>2.0</v>
      </c>
      <c r="Q5" s="4">
        <v>3.0</v>
      </c>
      <c r="R5" s="4">
        <v>1.0</v>
      </c>
      <c r="S5" s="4">
        <v>3.0</v>
      </c>
      <c r="T5" s="4">
        <v>0.0</v>
      </c>
      <c r="U5" s="4">
        <v>4.0</v>
      </c>
      <c r="V5" s="4">
        <v>3.0</v>
      </c>
      <c r="W5" s="4">
        <v>0.0</v>
      </c>
      <c r="X5" s="4">
        <v>0.0</v>
      </c>
      <c r="Y5" s="4">
        <v>3.0</v>
      </c>
      <c r="Z5" s="4">
        <v>3.0</v>
      </c>
      <c r="AA5" s="4">
        <v>3.0</v>
      </c>
      <c r="AB5" s="4">
        <v>4.0</v>
      </c>
      <c r="AC5" s="4">
        <v>6.0</v>
      </c>
      <c r="AD5" s="4">
        <v>3.0</v>
      </c>
      <c r="AE5" s="4">
        <v>0.0</v>
      </c>
      <c r="AF5" s="4">
        <v>0.0</v>
      </c>
      <c r="AG5" s="4">
        <v>0.0</v>
      </c>
      <c r="AH5" s="4">
        <v>0.0</v>
      </c>
      <c r="AI5" s="4">
        <v>5.0</v>
      </c>
      <c r="AJ5" s="4">
        <v>1.0</v>
      </c>
      <c r="AK5" s="4">
        <v>6.0</v>
      </c>
      <c r="AL5" s="4">
        <v>2.0</v>
      </c>
      <c r="AM5" s="4">
        <v>2.0</v>
      </c>
      <c r="AN5" s="4">
        <v>0.0</v>
      </c>
      <c r="AO5" s="4">
        <v>0.0</v>
      </c>
      <c r="AP5" s="4">
        <v>1.0</v>
      </c>
      <c r="AQ5" s="4">
        <v>1.0</v>
      </c>
      <c r="AR5" s="4">
        <v>1.0</v>
      </c>
      <c r="AS5" s="4">
        <v>1.0</v>
      </c>
      <c r="AT5" s="4">
        <v>0.0</v>
      </c>
      <c r="AU5" s="4">
        <v>0.0</v>
      </c>
      <c r="AV5" s="4">
        <v>0.0</v>
      </c>
      <c r="AW5" s="4">
        <v>2.0</v>
      </c>
      <c r="AX5" s="4">
        <v>3.0</v>
      </c>
      <c r="AY5" s="4">
        <v>3.0</v>
      </c>
      <c r="AZ5" s="4">
        <v>3.0</v>
      </c>
      <c r="BA5" s="4">
        <v>3.0</v>
      </c>
      <c r="BB5" s="4">
        <v>5.0</v>
      </c>
      <c r="BC5" s="4">
        <v>3.0</v>
      </c>
    </row>
    <row r="6">
      <c r="A6" s="4" t="s">
        <v>28</v>
      </c>
      <c r="B6" s="8">
        <f t="shared" si="2"/>
        <v>104</v>
      </c>
      <c r="C6" s="4">
        <v>1.0</v>
      </c>
      <c r="D6" s="4">
        <v>5.0</v>
      </c>
      <c r="E6" s="4">
        <v>13.0</v>
      </c>
      <c r="F6" s="4">
        <v>2.0</v>
      </c>
      <c r="G6" s="4">
        <v>9.0</v>
      </c>
      <c r="H6" s="4">
        <v>2.0</v>
      </c>
      <c r="I6" s="4">
        <v>0.0</v>
      </c>
      <c r="J6" s="4">
        <v>0.0</v>
      </c>
      <c r="K6" s="4">
        <v>1.0</v>
      </c>
      <c r="L6" s="4">
        <v>2.0</v>
      </c>
      <c r="M6" s="4">
        <v>1.0</v>
      </c>
      <c r="N6" s="4">
        <v>1.0</v>
      </c>
      <c r="O6" s="4">
        <v>2.0</v>
      </c>
      <c r="P6" s="4">
        <v>5.0</v>
      </c>
      <c r="Q6" s="4">
        <v>1.0</v>
      </c>
      <c r="R6" s="4">
        <v>3.0</v>
      </c>
      <c r="S6" s="4">
        <v>1.0</v>
      </c>
      <c r="T6" s="4">
        <v>1.0</v>
      </c>
      <c r="U6" s="4">
        <v>2.0</v>
      </c>
      <c r="V6" s="4">
        <v>2.0</v>
      </c>
      <c r="W6" s="4">
        <v>1.0</v>
      </c>
      <c r="X6" s="4">
        <v>1.0</v>
      </c>
      <c r="Y6" s="4">
        <v>3.0</v>
      </c>
      <c r="Z6" s="4">
        <v>0.0</v>
      </c>
      <c r="AA6" s="4">
        <v>3.0</v>
      </c>
      <c r="AB6" s="4">
        <v>0.0</v>
      </c>
      <c r="AC6" s="4">
        <v>1.0</v>
      </c>
      <c r="AD6" s="4">
        <v>1.0</v>
      </c>
      <c r="AE6" s="4">
        <v>2.0</v>
      </c>
      <c r="AF6" s="4">
        <v>1.0</v>
      </c>
      <c r="AG6" s="4">
        <v>3.0</v>
      </c>
      <c r="AH6" s="4">
        <v>1.0</v>
      </c>
      <c r="AI6" s="4">
        <v>1.0</v>
      </c>
      <c r="AJ6" s="4">
        <v>2.0</v>
      </c>
      <c r="AK6" s="4">
        <v>0.0</v>
      </c>
      <c r="AL6" s="4">
        <v>0.0</v>
      </c>
      <c r="AM6" s="4">
        <v>0.0</v>
      </c>
      <c r="AN6" s="4">
        <v>1.0</v>
      </c>
      <c r="AO6" s="4">
        <v>2.0</v>
      </c>
      <c r="AP6" s="4">
        <v>2.0</v>
      </c>
      <c r="AQ6" s="4">
        <v>2.0</v>
      </c>
      <c r="AR6" s="4">
        <v>2.0</v>
      </c>
      <c r="AS6" s="4">
        <v>2.0</v>
      </c>
      <c r="AT6" s="4">
        <v>1.0</v>
      </c>
      <c r="AU6" s="4">
        <v>1.0</v>
      </c>
      <c r="AV6" s="4">
        <v>1.0</v>
      </c>
      <c r="AW6" s="4">
        <v>3.0</v>
      </c>
      <c r="AX6" s="4">
        <v>1.0</v>
      </c>
      <c r="AY6" s="4">
        <v>1.0</v>
      </c>
      <c r="AZ6" s="4">
        <v>4.0</v>
      </c>
      <c r="BA6" s="4">
        <v>1.0</v>
      </c>
      <c r="BB6" s="4">
        <v>3.0</v>
      </c>
      <c r="BC6" s="4">
        <v>3.0</v>
      </c>
    </row>
    <row r="7">
      <c r="A7" s="4" t="s">
        <v>21</v>
      </c>
      <c r="B7" s="8">
        <f t="shared" si="2"/>
        <v>102</v>
      </c>
      <c r="C7" s="4">
        <v>1.0</v>
      </c>
      <c r="D7" s="4">
        <v>6.0</v>
      </c>
      <c r="E7" s="4">
        <v>8.0</v>
      </c>
      <c r="F7" s="4">
        <v>2.0</v>
      </c>
      <c r="G7" s="4">
        <v>14.0</v>
      </c>
      <c r="H7" s="4">
        <v>1.0</v>
      </c>
      <c r="I7" s="4">
        <v>0.0</v>
      </c>
      <c r="J7" s="4">
        <v>0.0</v>
      </c>
      <c r="K7" s="4">
        <v>0.0</v>
      </c>
      <c r="L7" s="4">
        <v>4.0</v>
      </c>
      <c r="M7" s="4">
        <v>2.0</v>
      </c>
      <c r="N7" s="4">
        <v>1.0</v>
      </c>
      <c r="O7" s="4">
        <v>1.0</v>
      </c>
      <c r="P7" s="4">
        <v>0.0</v>
      </c>
      <c r="Q7" s="4">
        <v>1.0</v>
      </c>
      <c r="R7" s="4">
        <v>0.0</v>
      </c>
      <c r="S7" s="4">
        <v>2.0</v>
      </c>
      <c r="T7" s="4">
        <v>1.0</v>
      </c>
      <c r="U7" s="4">
        <v>3.0</v>
      </c>
      <c r="V7" s="4">
        <v>1.0</v>
      </c>
      <c r="W7" s="4">
        <v>1.0</v>
      </c>
      <c r="X7" s="4">
        <v>1.0</v>
      </c>
      <c r="Y7" s="4">
        <v>2.0</v>
      </c>
      <c r="Z7" s="4">
        <v>1.0</v>
      </c>
      <c r="AA7" s="4">
        <v>1.0</v>
      </c>
      <c r="AB7" s="4">
        <v>0.0</v>
      </c>
      <c r="AC7" s="4">
        <v>1.0</v>
      </c>
      <c r="AD7" s="4">
        <v>2.0</v>
      </c>
      <c r="AE7" s="4">
        <v>0.0</v>
      </c>
      <c r="AF7" s="4">
        <v>1.0</v>
      </c>
      <c r="AG7" s="4">
        <v>1.0</v>
      </c>
      <c r="AH7" s="4">
        <v>0.0</v>
      </c>
      <c r="AI7" s="4">
        <v>1.0</v>
      </c>
      <c r="AJ7" s="4">
        <v>0.0</v>
      </c>
      <c r="AK7" s="4">
        <v>1.0</v>
      </c>
      <c r="AL7" s="4">
        <v>4.0</v>
      </c>
      <c r="AM7" s="4">
        <v>1.0</v>
      </c>
      <c r="AN7" s="4">
        <v>0.0</v>
      </c>
      <c r="AO7" s="4">
        <v>0.0</v>
      </c>
      <c r="AP7" s="4">
        <v>0.0</v>
      </c>
      <c r="AQ7" s="4">
        <v>0.0</v>
      </c>
      <c r="AR7" s="4">
        <v>0.0</v>
      </c>
      <c r="AS7" s="4">
        <v>2.0</v>
      </c>
      <c r="AT7" s="4">
        <v>3.0</v>
      </c>
      <c r="AU7" s="4">
        <v>1.0</v>
      </c>
      <c r="AV7" s="4">
        <v>2.0</v>
      </c>
      <c r="AW7" s="4">
        <v>3.0</v>
      </c>
      <c r="AX7" s="4">
        <v>3.0</v>
      </c>
      <c r="AY7" s="4">
        <v>3.0</v>
      </c>
      <c r="AZ7" s="4">
        <v>6.0</v>
      </c>
      <c r="BA7" s="4">
        <v>3.0</v>
      </c>
      <c r="BB7" s="4">
        <v>8.0</v>
      </c>
      <c r="BC7" s="4">
        <v>2.0</v>
      </c>
    </row>
    <row r="8">
      <c r="A8" s="4" t="s">
        <v>18</v>
      </c>
      <c r="B8" s="8">
        <f t="shared" si="2"/>
        <v>99</v>
      </c>
      <c r="C8" s="4">
        <v>2.0</v>
      </c>
      <c r="D8" s="4">
        <v>2.0</v>
      </c>
      <c r="E8" s="4">
        <v>6.0</v>
      </c>
      <c r="F8" s="4">
        <v>6.0</v>
      </c>
      <c r="G8" s="4">
        <v>4.0</v>
      </c>
      <c r="H8" s="4">
        <v>0.0</v>
      </c>
      <c r="I8" s="4">
        <v>1.0</v>
      </c>
      <c r="J8" s="4">
        <v>1.0</v>
      </c>
      <c r="K8" s="4">
        <v>1.0</v>
      </c>
      <c r="L8" s="4">
        <v>5.0</v>
      </c>
      <c r="M8" s="4">
        <v>1.0</v>
      </c>
      <c r="N8" s="4">
        <v>2.0</v>
      </c>
      <c r="O8" s="4">
        <v>3.0</v>
      </c>
      <c r="P8" s="4">
        <v>2.0</v>
      </c>
      <c r="Q8" s="4">
        <v>1.0</v>
      </c>
      <c r="R8" s="4">
        <v>1.0</v>
      </c>
      <c r="S8" s="4">
        <v>0.0</v>
      </c>
      <c r="T8" s="4">
        <v>1.0</v>
      </c>
      <c r="U8" s="4">
        <v>1.0</v>
      </c>
      <c r="V8" s="4">
        <v>3.0</v>
      </c>
      <c r="W8" s="4">
        <v>0.0</v>
      </c>
      <c r="X8" s="4">
        <v>0.0</v>
      </c>
      <c r="Y8" s="4">
        <v>1.0</v>
      </c>
      <c r="Z8" s="4">
        <v>0.0</v>
      </c>
      <c r="AA8" s="4">
        <v>2.0</v>
      </c>
      <c r="AB8" s="4">
        <v>1.0</v>
      </c>
      <c r="AC8" s="4">
        <v>2.0</v>
      </c>
      <c r="AD8" s="4">
        <v>2.0</v>
      </c>
      <c r="AE8" s="4">
        <v>1.0</v>
      </c>
      <c r="AF8" s="4">
        <v>3.0</v>
      </c>
      <c r="AG8" s="4">
        <v>1.0</v>
      </c>
      <c r="AH8" s="4">
        <v>3.0</v>
      </c>
      <c r="AI8" s="4">
        <v>0.0</v>
      </c>
      <c r="AJ8" s="4">
        <v>3.0</v>
      </c>
      <c r="AK8" s="4">
        <v>4.0</v>
      </c>
      <c r="AL8" s="4">
        <v>5.0</v>
      </c>
      <c r="AM8" s="4">
        <v>0.0</v>
      </c>
      <c r="AN8" s="4">
        <v>3.0</v>
      </c>
      <c r="AO8" s="4">
        <v>3.0</v>
      </c>
      <c r="AP8" s="4">
        <v>3.0</v>
      </c>
      <c r="AQ8" s="4">
        <v>1.0</v>
      </c>
      <c r="AR8" s="4">
        <v>0.0</v>
      </c>
      <c r="AS8" s="4">
        <v>2.0</v>
      </c>
      <c r="AT8" s="4">
        <v>1.0</v>
      </c>
      <c r="AU8" s="4">
        <v>2.0</v>
      </c>
      <c r="AV8" s="4">
        <v>0.0</v>
      </c>
      <c r="AW8" s="4">
        <v>2.0</v>
      </c>
      <c r="AX8" s="4">
        <v>3.0</v>
      </c>
      <c r="AY8" s="4">
        <v>3.0</v>
      </c>
      <c r="AZ8" s="4">
        <v>1.0</v>
      </c>
      <c r="BA8" s="4">
        <v>0.0</v>
      </c>
      <c r="BB8" s="4">
        <v>1.0</v>
      </c>
      <c r="BC8" s="4">
        <v>3.0</v>
      </c>
    </row>
    <row r="9">
      <c r="A9" s="4" t="s">
        <v>26</v>
      </c>
      <c r="B9" s="8">
        <f t="shared" si="2"/>
        <v>86</v>
      </c>
      <c r="C9" s="4">
        <v>1.0</v>
      </c>
      <c r="D9" s="4">
        <v>2.0</v>
      </c>
      <c r="E9" s="4">
        <v>6.0</v>
      </c>
      <c r="F9" s="4">
        <v>2.0</v>
      </c>
      <c r="G9" s="4">
        <v>15.0</v>
      </c>
      <c r="H9" s="4">
        <v>3.0</v>
      </c>
      <c r="I9" s="4">
        <v>1.0</v>
      </c>
      <c r="J9" s="4">
        <v>1.0</v>
      </c>
      <c r="K9" s="4">
        <v>0.0</v>
      </c>
      <c r="L9" s="4">
        <v>4.0</v>
      </c>
      <c r="M9" s="4">
        <v>2.0</v>
      </c>
      <c r="N9" s="4">
        <v>1.0</v>
      </c>
      <c r="O9" s="4">
        <v>1.0</v>
      </c>
      <c r="P9" s="4">
        <v>2.0</v>
      </c>
      <c r="Q9" s="4">
        <v>0.0</v>
      </c>
      <c r="R9" s="4">
        <v>2.0</v>
      </c>
      <c r="S9" s="4">
        <v>1.0</v>
      </c>
      <c r="T9" s="4">
        <v>0.0</v>
      </c>
      <c r="U9" s="4">
        <v>2.0</v>
      </c>
      <c r="V9" s="4">
        <v>0.0</v>
      </c>
      <c r="W9" s="4">
        <v>1.0</v>
      </c>
      <c r="X9" s="4">
        <v>0.0</v>
      </c>
      <c r="Y9" s="4">
        <v>3.0</v>
      </c>
      <c r="Z9" s="4">
        <v>2.0</v>
      </c>
      <c r="AA9" s="4">
        <v>6.0</v>
      </c>
      <c r="AB9" s="4">
        <v>2.0</v>
      </c>
      <c r="AC9" s="4">
        <v>3.0</v>
      </c>
      <c r="AD9" s="4">
        <v>2.0</v>
      </c>
      <c r="AE9" s="4">
        <v>1.0</v>
      </c>
      <c r="AF9" s="4">
        <v>0.0</v>
      </c>
      <c r="AG9" s="4">
        <v>1.0</v>
      </c>
      <c r="AH9" s="4">
        <v>0.0</v>
      </c>
      <c r="AI9" s="4">
        <v>0.0</v>
      </c>
      <c r="AJ9" s="4">
        <v>0.0</v>
      </c>
      <c r="AK9" s="4">
        <v>1.0</v>
      </c>
      <c r="AL9" s="4">
        <v>0.0</v>
      </c>
      <c r="AM9" s="4">
        <v>3.0</v>
      </c>
      <c r="AN9" s="4">
        <v>0.0</v>
      </c>
      <c r="AO9" s="4">
        <v>1.0</v>
      </c>
      <c r="AP9" s="4">
        <v>1.0</v>
      </c>
      <c r="AQ9" s="4">
        <v>1.0</v>
      </c>
      <c r="AR9" s="4">
        <v>1.0</v>
      </c>
      <c r="AS9" s="4">
        <v>0.0</v>
      </c>
      <c r="AT9" s="4">
        <v>1.0</v>
      </c>
      <c r="AU9" s="4">
        <v>0.0</v>
      </c>
      <c r="AV9" s="4">
        <v>1.0</v>
      </c>
      <c r="AW9" s="4">
        <v>0.0</v>
      </c>
      <c r="AX9" s="4">
        <v>1.0</v>
      </c>
      <c r="AY9" s="4">
        <v>1.0</v>
      </c>
      <c r="AZ9" s="4">
        <v>0.0</v>
      </c>
      <c r="BA9" s="4">
        <v>1.0</v>
      </c>
      <c r="BB9" s="4">
        <v>4.0</v>
      </c>
      <c r="BC9" s="4">
        <v>2.0</v>
      </c>
    </row>
    <row r="10">
      <c r="A10" s="4" t="s">
        <v>20</v>
      </c>
      <c r="B10" s="8">
        <f t="shared" si="2"/>
        <v>79</v>
      </c>
      <c r="C10" s="4">
        <v>2.0</v>
      </c>
      <c r="D10" s="4">
        <v>1.0</v>
      </c>
      <c r="E10" s="4">
        <v>5.0</v>
      </c>
      <c r="F10" s="4">
        <v>1.0</v>
      </c>
      <c r="G10" s="4">
        <v>1.0</v>
      </c>
      <c r="H10" s="4">
        <v>1.0</v>
      </c>
      <c r="I10" s="4">
        <v>1.0</v>
      </c>
      <c r="J10" s="4">
        <v>1.0</v>
      </c>
      <c r="K10" s="4">
        <v>2.0</v>
      </c>
      <c r="L10" s="4">
        <v>2.0</v>
      </c>
      <c r="M10" s="4">
        <v>1.0</v>
      </c>
      <c r="N10" s="4">
        <v>1.0</v>
      </c>
      <c r="O10" s="4">
        <v>1.0</v>
      </c>
      <c r="P10" s="4">
        <v>1.0</v>
      </c>
      <c r="Q10" s="4">
        <v>1.0</v>
      </c>
      <c r="R10" s="4">
        <v>0.0</v>
      </c>
      <c r="S10" s="4">
        <v>0.0</v>
      </c>
      <c r="T10" s="4">
        <v>0.0</v>
      </c>
      <c r="U10" s="4">
        <v>2.0</v>
      </c>
      <c r="V10" s="4">
        <v>2.0</v>
      </c>
      <c r="W10" s="4">
        <v>4.0</v>
      </c>
      <c r="X10" s="4">
        <v>1.0</v>
      </c>
      <c r="Y10" s="4">
        <v>1.0</v>
      </c>
      <c r="Z10" s="4">
        <v>2.0</v>
      </c>
      <c r="AA10" s="4">
        <v>6.0</v>
      </c>
      <c r="AB10" s="4">
        <v>0.0</v>
      </c>
      <c r="AC10" s="4">
        <v>1.0</v>
      </c>
      <c r="AD10" s="4">
        <v>1.0</v>
      </c>
      <c r="AE10" s="4">
        <v>2.0</v>
      </c>
      <c r="AF10" s="4">
        <v>2.0</v>
      </c>
      <c r="AG10" s="4">
        <v>1.0</v>
      </c>
      <c r="AH10" s="4">
        <v>1.0</v>
      </c>
      <c r="AI10" s="4">
        <v>0.0</v>
      </c>
      <c r="AJ10" s="4">
        <v>1.0</v>
      </c>
      <c r="AK10" s="4">
        <v>4.0</v>
      </c>
      <c r="AL10" s="4">
        <v>3.0</v>
      </c>
      <c r="AM10" s="4">
        <v>2.0</v>
      </c>
      <c r="AN10" s="4">
        <v>1.0</v>
      </c>
      <c r="AO10" s="4">
        <v>3.0</v>
      </c>
      <c r="AP10" s="4">
        <v>1.0</v>
      </c>
      <c r="AQ10" s="4">
        <v>1.0</v>
      </c>
      <c r="AR10" s="4">
        <v>1.0</v>
      </c>
      <c r="AS10" s="4">
        <v>1.0</v>
      </c>
      <c r="AT10" s="4">
        <v>0.0</v>
      </c>
      <c r="AU10" s="4">
        <v>1.0</v>
      </c>
      <c r="AV10" s="4">
        <v>3.0</v>
      </c>
      <c r="AW10" s="4">
        <v>2.0</v>
      </c>
      <c r="AX10" s="4">
        <v>1.0</v>
      </c>
      <c r="AY10" s="4">
        <v>1.0</v>
      </c>
      <c r="AZ10" s="4">
        <v>1.0</v>
      </c>
      <c r="BA10" s="4">
        <v>1.0</v>
      </c>
      <c r="BB10" s="4">
        <v>1.0</v>
      </c>
      <c r="BC10" s="4">
        <v>2.0</v>
      </c>
    </row>
    <row r="11">
      <c r="A11" s="4" t="s">
        <v>25</v>
      </c>
      <c r="B11" s="8">
        <f t="shared" si="2"/>
        <v>71</v>
      </c>
      <c r="C11" s="4">
        <v>1.0</v>
      </c>
      <c r="D11" s="4">
        <v>2.0</v>
      </c>
      <c r="E11" s="4">
        <v>4.0</v>
      </c>
      <c r="F11" s="4">
        <v>1.0</v>
      </c>
      <c r="G11" s="4">
        <v>1.0</v>
      </c>
      <c r="H11" s="4">
        <v>2.0</v>
      </c>
      <c r="I11" s="4">
        <v>1.0</v>
      </c>
      <c r="J11" s="4">
        <v>2.0</v>
      </c>
      <c r="K11" s="4">
        <v>1.0</v>
      </c>
      <c r="L11" s="4">
        <v>2.0</v>
      </c>
      <c r="M11" s="4">
        <v>3.0</v>
      </c>
      <c r="N11" s="4">
        <v>1.0</v>
      </c>
      <c r="O11" s="4">
        <v>1.0</v>
      </c>
      <c r="P11" s="4">
        <v>2.0</v>
      </c>
      <c r="Q11" s="4">
        <v>1.0</v>
      </c>
      <c r="R11" s="4">
        <v>2.0</v>
      </c>
      <c r="S11" s="4">
        <v>1.0</v>
      </c>
      <c r="T11" s="4">
        <v>0.0</v>
      </c>
      <c r="U11" s="4">
        <v>1.0</v>
      </c>
      <c r="V11" s="4">
        <v>1.0</v>
      </c>
      <c r="W11" s="4">
        <v>3.0</v>
      </c>
      <c r="X11" s="4">
        <v>1.0</v>
      </c>
      <c r="Y11" s="4">
        <v>3.0</v>
      </c>
      <c r="Z11" s="4">
        <v>0.0</v>
      </c>
      <c r="AA11" s="4">
        <v>3.0</v>
      </c>
      <c r="AB11" s="4">
        <v>0.0</v>
      </c>
      <c r="AC11" s="4">
        <v>2.0</v>
      </c>
      <c r="AD11" s="4">
        <v>1.0</v>
      </c>
      <c r="AE11" s="4">
        <v>3.0</v>
      </c>
      <c r="AF11" s="4">
        <v>1.0</v>
      </c>
      <c r="AG11" s="4">
        <v>0.0</v>
      </c>
      <c r="AH11" s="4">
        <v>1.0</v>
      </c>
      <c r="AI11" s="4">
        <v>1.0</v>
      </c>
      <c r="AJ11" s="4">
        <v>1.0</v>
      </c>
      <c r="AK11" s="4">
        <v>2.0</v>
      </c>
      <c r="AL11" s="4">
        <v>0.0</v>
      </c>
      <c r="AM11" s="4">
        <v>2.0</v>
      </c>
      <c r="AN11" s="4">
        <v>1.0</v>
      </c>
      <c r="AO11" s="4">
        <v>1.0</v>
      </c>
      <c r="AP11" s="4">
        <v>2.0</v>
      </c>
      <c r="AQ11" s="4">
        <v>2.0</v>
      </c>
      <c r="AR11" s="4">
        <v>3.0</v>
      </c>
      <c r="AS11" s="4">
        <v>0.0</v>
      </c>
      <c r="AT11" s="4">
        <v>1.0</v>
      </c>
      <c r="AU11" s="4">
        <v>1.0</v>
      </c>
      <c r="AV11" s="4">
        <v>1.0</v>
      </c>
      <c r="AW11" s="4">
        <v>1.0</v>
      </c>
      <c r="AX11" s="4">
        <v>1.0</v>
      </c>
      <c r="AY11" s="4">
        <v>1.0</v>
      </c>
      <c r="AZ11" s="4">
        <v>1.0</v>
      </c>
      <c r="BA11" s="4">
        <v>1.0</v>
      </c>
      <c r="BB11" s="4">
        <v>0.0</v>
      </c>
      <c r="BC11" s="4">
        <v>0.0</v>
      </c>
    </row>
    <row r="12">
      <c r="A12" s="4" t="s">
        <v>22</v>
      </c>
      <c r="B12" s="8">
        <f t="shared" si="2"/>
        <v>71</v>
      </c>
      <c r="C12" s="4">
        <v>1.0</v>
      </c>
      <c r="D12" s="4">
        <v>6.0</v>
      </c>
      <c r="E12" s="4">
        <v>1.0</v>
      </c>
      <c r="F12" s="4">
        <v>1.0</v>
      </c>
      <c r="G12" s="4">
        <v>2.0</v>
      </c>
      <c r="H12" s="4">
        <v>1.0</v>
      </c>
      <c r="I12" s="4">
        <v>1.0</v>
      </c>
      <c r="J12" s="4">
        <v>0.0</v>
      </c>
      <c r="K12" s="4">
        <v>2.0</v>
      </c>
      <c r="L12" s="4">
        <v>0.0</v>
      </c>
      <c r="M12" s="4">
        <v>1.0</v>
      </c>
      <c r="N12" s="4">
        <v>0.0</v>
      </c>
      <c r="O12" s="4">
        <v>1.0</v>
      </c>
      <c r="P12" s="4">
        <v>1.0</v>
      </c>
      <c r="Q12" s="4">
        <v>1.0</v>
      </c>
      <c r="R12" s="4">
        <v>0.0</v>
      </c>
      <c r="S12" s="4">
        <v>0.0</v>
      </c>
      <c r="T12" s="4">
        <v>1.0</v>
      </c>
      <c r="U12" s="4">
        <v>5.0</v>
      </c>
      <c r="V12" s="4">
        <v>3.0</v>
      </c>
      <c r="W12" s="4">
        <v>5.0</v>
      </c>
      <c r="X12" s="4">
        <v>3.0</v>
      </c>
      <c r="Y12" s="4">
        <v>4.0</v>
      </c>
      <c r="Z12" s="4">
        <v>2.0</v>
      </c>
      <c r="AA12" s="4">
        <v>2.0</v>
      </c>
      <c r="AB12" s="4">
        <v>1.0</v>
      </c>
      <c r="AC12" s="4">
        <v>0.0</v>
      </c>
      <c r="AD12" s="4">
        <v>0.0</v>
      </c>
      <c r="AE12" s="4">
        <v>0.0</v>
      </c>
      <c r="AF12" s="4">
        <v>0.0</v>
      </c>
      <c r="AG12" s="4">
        <v>0.0</v>
      </c>
      <c r="AH12" s="4">
        <v>0.0</v>
      </c>
      <c r="AI12" s="4">
        <v>0.0</v>
      </c>
      <c r="AJ12" s="4">
        <v>3.0</v>
      </c>
      <c r="AK12" s="4">
        <v>2.0</v>
      </c>
      <c r="AL12" s="4">
        <v>0.0</v>
      </c>
      <c r="AM12" s="4">
        <v>1.0</v>
      </c>
      <c r="AN12" s="4">
        <v>1.0</v>
      </c>
      <c r="AO12" s="4">
        <v>0.0</v>
      </c>
      <c r="AP12" s="4">
        <v>1.0</v>
      </c>
      <c r="AQ12" s="4">
        <v>0.0</v>
      </c>
      <c r="AR12" s="4">
        <v>0.0</v>
      </c>
      <c r="AS12" s="4">
        <v>1.0</v>
      </c>
      <c r="AT12" s="4">
        <v>3.0</v>
      </c>
      <c r="AU12" s="4">
        <v>0.0</v>
      </c>
      <c r="AV12" s="4">
        <v>1.0</v>
      </c>
      <c r="AW12" s="4">
        <v>1.0</v>
      </c>
      <c r="AX12" s="4">
        <v>1.0</v>
      </c>
      <c r="AY12" s="4">
        <v>2.0</v>
      </c>
      <c r="AZ12" s="4">
        <v>1.0</v>
      </c>
      <c r="BA12" s="4">
        <v>0.0</v>
      </c>
      <c r="BB12" s="4">
        <v>5.0</v>
      </c>
      <c r="BC12" s="4">
        <v>3.0</v>
      </c>
    </row>
    <row r="13">
      <c r="A13" s="4" t="s">
        <v>32</v>
      </c>
      <c r="B13" s="8">
        <f t="shared" si="2"/>
        <v>65</v>
      </c>
      <c r="C13" s="4">
        <v>0.0</v>
      </c>
      <c r="D13" s="4">
        <v>1.0</v>
      </c>
      <c r="E13" s="4">
        <v>2.0</v>
      </c>
      <c r="F13" s="4">
        <v>1.0</v>
      </c>
      <c r="G13" s="4">
        <v>2.0</v>
      </c>
      <c r="H13" s="4">
        <v>0.0</v>
      </c>
      <c r="I13" s="4">
        <v>2.0</v>
      </c>
      <c r="J13" s="4">
        <v>1.0</v>
      </c>
      <c r="K13" s="4">
        <v>2.0</v>
      </c>
      <c r="L13" s="4">
        <v>1.0</v>
      </c>
      <c r="M13" s="4">
        <v>2.0</v>
      </c>
      <c r="N13" s="4">
        <v>2.0</v>
      </c>
      <c r="O13" s="4">
        <v>1.0</v>
      </c>
      <c r="P13" s="4">
        <v>1.0</v>
      </c>
      <c r="Q13" s="4">
        <v>0.0</v>
      </c>
      <c r="R13" s="4">
        <v>0.0</v>
      </c>
      <c r="S13" s="4">
        <v>1.0</v>
      </c>
      <c r="T13" s="4">
        <v>1.0</v>
      </c>
      <c r="U13" s="4">
        <v>0.0</v>
      </c>
      <c r="V13" s="4">
        <v>1.0</v>
      </c>
      <c r="W13" s="4">
        <v>2.0</v>
      </c>
      <c r="X13" s="4">
        <v>1.0</v>
      </c>
      <c r="Y13" s="4">
        <v>4.0</v>
      </c>
      <c r="Z13" s="4">
        <v>1.0</v>
      </c>
      <c r="AA13" s="4">
        <v>1.0</v>
      </c>
      <c r="AB13" s="4">
        <v>1.0</v>
      </c>
      <c r="AC13" s="4">
        <v>2.0</v>
      </c>
      <c r="AD13" s="4">
        <v>1.0</v>
      </c>
      <c r="AE13" s="4">
        <v>0.0</v>
      </c>
      <c r="AF13" s="4">
        <v>1.0</v>
      </c>
      <c r="AG13" s="4">
        <v>0.0</v>
      </c>
      <c r="AH13" s="4">
        <v>0.0</v>
      </c>
      <c r="AI13" s="4">
        <v>2.0</v>
      </c>
      <c r="AJ13" s="4">
        <v>2.0</v>
      </c>
      <c r="AK13" s="4">
        <v>1.0</v>
      </c>
      <c r="AL13" s="4">
        <v>1.0</v>
      </c>
      <c r="AM13" s="4">
        <v>2.0</v>
      </c>
      <c r="AN13" s="4">
        <v>1.0</v>
      </c>
      <c r="AO13" s="4">
        <v>1.0</v>
      </c>
      <c r="AP13" s="4">
        <v>2.0</v>
      </c>
      <c r="AQ13" s="4">
        <v>1.0</v>
      </c>
      <c r="AR13" s="4">
        <v>0.0</v>
      </c>
      <c r="AS13" s="4">
        <v>2.0</v>
      </c>
      <c r="AT13" s="4">
        <v>2.0</v>
      </c>
      <c r="AU13" s="4">
        <v>1.0</v>
      </c>
      <c r="AV13" s="4">
        <v>2.0</v>
      </c>
      <c r="AW13" s="4">
        <v>2.0</v>
      </c>
      <c r="AX13" s="4">
        <v>0.0</v>
      </c>
      <c r="AY13" s="4">
        <v>1.0</v>
      </c>
      <c r="AZ13" s="4">
        <v>1.0</v>
      </c>
      <c r="BA13" s="4">
        <v>2.0</v>
      </c>
      <c r="BB13" s="4">
        <v>2.0</v>
      </c>
      <c r="BC13" s="4">
        <v>2.0</v>
      </c>
    </row>
    <row r="14">
      <c r="A14" s="4" t="s">
        <v>31</v>
      </c>
      <c r="B14" s="8">
        <f t="shared" si="2"/>
        <v>64</v>
      </c>
      <c r="C14" s="4">
        <v>0.0</v>
      </c>
      <c r="D14" s="4">
        <v>2.0</v>
      </c>
      <c r="E14" s="4">
        <v>1.0</v>
      </c>
      <c r="F14" s="4">
        <v>0.0</v>
      </c>
      <c r="G14" s="4">
        <v>1.0</v>
      </c>
      <c r="H14" s="4">
        <v>1.0</v>
      </c>
      <c r="I14" s="4">
        <v>2.0</v>
      </c>
      <c r="J14" s="4">
        <v>1.0</v>
      </c>
      <c r="K14" s="4">
        <v>0.0</v>
      </c>
      <c r="L14" s="4">
        <v>1.0</v>
      </c>
      <c r="M14" s="4">
        <v>2.0</v>
      </c>
      <c r="N14" s="4">
        <v>1.0</v>
      </c>
      <c r="O14" s="4">
        <v>0.0</v>
      </c>
      <c r="P14" s="4">
        <v>1.0</v>
      </c>
      <c r="Q14" s="4">
        <v>1.0</v>
      </c>
      <c r="R14" s="4">
        <v>1.0</v>
      </c>
      <c r="S14" s="4">
        <v>3.0</v>
      </c>
      <c r="T14" s="4">
        <v>1.0</v>
      </c>
      <c r="U14" s="4">
        <v>1.0</v>
      </c>
      <c r="V14" s="4">
        <v>2.0</v>
      </c>
      <c r="W14" s="4">
        <v>1.0</v>
      </c>
      <c r="X14" s="4">
        <v>2.0</v>
      </c>
      <c r="Y14" s="4">
        <v>4.0</v>
      </c>
      <c r="Z14" s="4">
        <v>1.0</v>
      </c>
      <c r="AA14" s="4">
        <v>3.0</v>
      </c>
      <c r="AB14" s="4">
        <v>3.0</v>
      </c>
      <c r="AC14" s="4">
        <v>2.0</v>
      </c>
      <c r="AD14" s="4">
        <v>0.0</v>
      </c>
      <c r="AE14" s="4">
        <v>0.0</v>
      </c>
      <c r="AF14" s="4">
        <v>1.0</v>
      </c>
      <c r="AG14" s="4">
        <v>1.0</v>
      </c>
      <c r="AH14" s="4">
        <v>0.0</v>
      </c>
      <c r="AI14" s="4">
        <v>1.0</v>
      </c>
      <c r="AJ14" s="4">
        <v>2.0</v>
      </c>
      <c r="AK14" s="4">
        <v>0.0</v>
      </c>
      <c r="AL14" s="4">
        <v>0.0</v>
      </c>
      <c r="AM14" s="4">
        <v>1.0</v>
      </c>
      <c r="AN14" s="4">
        <v>2.0</v>
      </c>
      <c r="AO14" s="4">
        <v>1.0</v>
      </c>
      <c r="AP14" s="4">
        <v>1.0</v>
      </c>
      <c r="AQ14" s="4">
        <v>1.0</v>
      </c>
      <c r="AR14" s="4">
        <v>0.0</v>
      </c>
      <c r="AS14" s="4">
        <v>0.0</v>
      </c>
      <c r="AT14" s="4">
        <v>1.0</v>
      </c>
      <c r="AU14" s="4">
        <v>1.0</v>
      </c>
      <c r="AV14" s="4">
        <v>2.0</v>
      </c>
      <c r="AW14" s="4">
        <v>1.0</v>
      </c>
      <c r="AX14" s="4">
        <v>0.0</v>
      </c>
      <c r="AY14" s="4">
        <v>2.0</v>
      </c>
      <c r="AZ14" s="4">
        <v>1.0</v>
      </c>
      <c r="BA14" s="4">
        <v>3.0</v>
      </c>
      <c r="BB14" s="4">
        <v>2.0</v>
      </c>
      <c r="BC14" s="4">
        <v>2.0</v>
      </c>
    </row>
    <row r="15">
      <c r="A15" s="4" t="s">
        <v>30</v>
      </c>
      <c r="B15" s="8">
        <f t="shared" si="2"/>
        <v>63</v>
      </c>
      <c r="C15" s="4">
        <v>0.0</v>
      </c>
      <c r="D15" s="4">
        <v>7.0</v>
      </c>
      <c r="E15" s="4">
        <v>4.0</v>
      </c>
      <c r="F15" s="4">
        <v>0.0</v>
      </c>
      <c r="G15" s="4">
        <v>5.0</v>
      </c>
      <c r="H15" s="4">
        <v>0.0</v>
      </c>
      <c r="I15" s="4">
        <v>0.0</v>
      </c>
      <c r="J15" s="4">
        <v>1.0</v>
      </c>
      <c r="K15" s="4">
        <v>1.0</v>
      </c>
      <c r="L15" s="4">
        <v>2.0</v>
      </c>
      <c r="M15" s="4">
        <v>1.0</v>
      </c>
      <c r="N15" s="4">
        <v>2.0</v>
      </c>
      <c r="O15" s="4">
        <v>2.0</v>
      </c>
      <c r="P15" s="4">
        <v>1.0</v>
      </c>
      <c r="Q15" s="4">
        <v>0.0</v>
      </c>
      <c r="R15" s="4">
        <v>0.0</v>
      </c>
      <c r="S15" s="4">
        <v>0.0</v>
      </c>
      <c r="T15" s="4">
        <v>1.0</v>
      </c>
      <c r="U15" s="4">
        <v>1.0</v>
      </c>
      <c r="V15" s="4">
        <v>0.0</v>
      </c>
      <c r="W15" s="4">
        <v>0.0</v>
      </c>
      <c r="X15" s="4">
        <v>2.0</v>
      </c>
      <c r="Y15" s="4">
        <v>0.0</v>
      </c>
      <c r="Z15" s="4">
        <v>0.0</v>
      </c>
      <c r="AA15" s="4">
        <v>1.0</v>
      </c>
      <c r="AB15" s="4">
        <v>1.0</v>
      </c>
      <c r="AC15" s="4">
        <v>1.0</v>
      </c>
      <c r="AD15" s="4">
        <v>0.0</v>
      </c>
      <c r="AE15" s="4">
        <v>0.0</v>
      </c>
      <c r="AF15" s="4">
        <v>2.0</v>
      </c>
      <c r="AG15" s="4">
        <v>1.0</v>
      </c>
      <c r="AH15" s="4">
        <v>3.0</v>
      </c>
      <c r="AI15" s="4">
        <v>1.0</v>
      </c>
      <c r="AJ15" s="4">
        <v>2.0</v>
      </c>
      <c r="AK15" s="4">
        <v>0.0</v>
      </c>
      <c r="AL15" s="4">
        <v>1.0</v>
      </c>
      <c r="AM15" s="4">
        <v>1.0</v>
      </c>
      <c r="AN15" s="4">
        <v>0.0</v>
      </c>
      <c r="AO15" s="4">
        <v>1.0</v>
      </c>
      <c r="AP15" s="4">
        <v>0.0</v>
      </c>
      <c r="AQ15" s="4">
        <v>0.0</v>
      </c>
      <c r="AR15" s="4">
        <v>5.0</v>
      </c>
      <c r="AS15" s="4">
        <v>3.0</v>
      </c>
      <c r="AT15" s="4">
        <v>2.0</v>
      </c>
      <c r="AU15" s="4">
        <v>1.0</v>
      </c>
      <c r="AV15" s="4">
        <v>1.0</v>
      </c>
      <c r="AW15" s="4">
        <v>1.0</v>
      </c>
      <c r="AX15" s="4">
        <v>2.0</v>
      </c>
      <c r="AY15" s="4">
        <v>1.0</v>
      </c>
      <c r="AZ15" s="4">
        <v>0.0</v>
      </c>
      <c r="BA15" s="4">
        <v>0.0</v>
      </c>
      <c r="BB15" s="4">
        <v>0.0</v>
      </c>
      <c r="BC15" s="4">
        <v>2.0</v>
      </c>
    </row>
    <row r="16">
      <c r="A16" s="4" t="s">
        <v>35</v>
      </c>
      <c r="B16" s="8">
        <f t="shared" si="2"/>
        <v>54</v>
      </c>
      <c r="C16" s="4">
        <v>1.0</v>
      </c>
      <c r="D16" s="4">
        <v>0.0</v>
      </c>
      <c r="E16" s="4">
        <v>3.0</v>
      </c>
      <c r="F16" s="4">
        <v>1.0</v>
      </c>
      <c r="G16" s="4">
        <v>1.0</v>
      </c>
      <c r="H16" s="4">
        <v>0.0</v>
      </c>
      <c r="I16" s="4">
        <v>0.0</v>
      </c>
      <c r="J16" s="4">
        <v>0.0</v>
      </c>
      <c r="K16" s="4">
        <v>1.0</v>
      </c>
      <c r="L16" s="4">
        <v>1.0</v>
      </c>
      <c r="M16" s="4">
        <v>0.0</v>
      </c>
      <c r="N16" s="4">
        <v>0.0</v>
      </c>
      <c r="O16" s="4">
        <v>1.0</v>
      </c>
      <c r="P16" s="4">
        <v>1.0</v>
      </c>
      <c r="Q16" s="4">
        <v>0.0</v>
      </c>
      <c r="R16" s="4">
        <v>1.0</v>
      </c>
      <c r="S16" s="4">
        <v>0.0</v>
      </c>
      <c r="T16" s="4">
        <v>0.0</v>
      </c>
      <c r="U16" s="4">
        <v>0.0</v>
      </c>
      <c r="V16" s="4">
        <v>1.0</v>
      </c>
      <c r="W16" s="4">
        <v>5.0</v>
      </c>
      <c r="X16" s="4">
        <v>2.0</v>
      </c>
      <c r="Y16" s="4">
        <v>3.0</v>
      </c>
      <c r="Z16" s="4">
        <v>2.0</v>
      </c>
      <c r="AA16" s="4">
        <v>1.0</v>
      </c>
      <c r="AB16" s="4">
        <v>3.0</v>
      </c>
      <c r="AC16" s="4">
        <v>2.0</v>
      </c>
      <c r="AD16" s="4">
        <v>0.0</v>
      </c>
      <c r="AE16" s="4">
        <v>0.0</v>
      </c>
      <c r="AF16" s="4">
        <v>1.0</v>
      </c>
      <c r="AG16" s="4">
        <v>0.0</v>
      </c>
      <c r="AH16" s="4">
        <v>2.0</v>
      </c>
      <c r="AI16" s="4">
        <v>3.0</v>
      </c>
      <c r="AJ16" s="4">
        <v>1.0</v>
      </c>
      <c r="AK16" s="4">
        <v>2.0</v>
      </c>
      <c r="AL16" s="4">
        <v>1.0</v>
      </c>
      <c r="AM16" s="4">
        <v>1.0</v>
      </c>
      <c r="AN16" s="4">
        <v>0.0</v>
      </c>
      <c r="AO16" s="4">
        <v>1.0</v>
      </c>
      <c r="AP16" s="4">
        <v>1.0</v>
      </c>
      <c r="AQ16" s="4">
        <v>0.0</v>
      </c>
      <c r="AR16" s="4">
        <v>0.0</v>
      </c>
      <c r="AS16" s="4">
        <v>1.0</v>
      </c>
      <c r="AT16" s="4">
        <v>0.0</v>
      </c>
      <c r="AU16" s="4">
        <v>1.0</v>
      </c>
      <c r="AV16" s="4">
        <v>1.0</v>
      </c>
      <c r="AW16" s="4">
        <v>0.0</v>
      </c>
      <c r="AX16" s="4">
        <v>1.0</v>
      </c>
      <c r="AY16" s="4">
        <v>1.0</v>
      </c>
      <c r="AZ16" s="4">
        <v>1.0</v>
      </c>
      <c r="BA16" s="4">
        <v>0.0</v>
      </c>
      <c r="BB16" s="4">
        <v>3.0</v>
      </c>
      <c r="BC16" s="4">
        <v>2.0</v>
      </c>
    </row>
    <row r="17">
      <c r="A17" s="4" t="s">
        <v>46</v>
      </c>
      <c r="B17" s="8">
        <f t="shared" si="2"/>
        <v>48</v>
      </c>
      <c r="C17" s="4">
        <v>0.0</v>
      </c>
      <c r="D17" s="4">
        <v>3.0</v>
      </c>
      <c r="E17" s="4">
        <v>0.0</v>
      </c>
      <c r="F17" s="4">
        <v>2.0</v>
      </c>
      <c r="G17" s="4">
        <v>2.0</v>
      </c>
      <c r="H17" s="4">
        <v>0.0</v>
      </c>
      <c r="I17" s="4">
        <v>1.0</v>
      </c>
      <c r="J17" s="4">
        <v>1.0</v>
      </c>
      <c r="K17" s="4">
        <v>0.0</v>
      </c>
      <c r="L17" s="4">
        <v>0.0</v>
      </c>
      <c r="M17" s="4">
        <v>1.0</v>
      </c>
      <c r="N17" s="4">
        <v>0.0</v>
      </c>
      <c r="O17" s="4">
        <v>0.0</v>
      </c>
      <c r="P17" s="4">
        <v>0.0</v>
      </c>
      <c r="Q17" s="4">
        <v>0.0</v>
      </c>
      <c r="R17" s="4">
        <v>0.0</v>
      </c>
      <c r="S17" s="4">
        <v>2.0</v>
      </c>
      <c r="T17" s="4">
        <v>0.0</v>
      </c>
      <c r="U17" s="4">
        <v>0.0</v>
      </c>
      <c r="V17" s="4">
        <v>0.0</v>
      </c>
      <c r="W17" s="4">
        <v>0.0</v>
      </c>
      <c r="X17" s="4">
        <v>2.0</v>
      </c>
      <c r="Y17" s="4">
        <v>0.0</v>
      </c>
      <c r="Z17" s="4">
        <v>0.0</v>
      </c>
      <c r="AA17" s="4">
        <v>2.0</v>
      </c>
      <c r="AB17" s="4">
        <v>0.0</v>
      </c>
      <c r="AC17" s="4">
        <v>2.0</v>
      </c>
      <c r="AD17" s="4">
        <v>2.0</v>
      </c>
      <c r="AE17" s="4">
        <v>0.0</v>
      </c>
      <c r="AF17" s="4">
        <v>2.0</v>
      </c>
      <c r="AG17" s="4">
        <v>1.0</v>
      </c>
      <c r="AH17" s="4">
        <v>0.0</v>
      </c>
      <c r="AI17" s="4">
        <v>2.0</v>
      </c>
      <c r="AJ17" s="4">
        <v>1.0</v>
      </c>
      <c r="AK17" s="4">
        <v>1.0</v>
      </c>
      <c r="AL17" s="4">
        <v>0.0</v>
      </c>
      <c r="AM17" s="4">
        <v>1.0</v>
      </c>
      <c r="AN17" s="4">
        <v>2.0</v>
      </c>
      <c r="AO17" s="4">
        <v>0.0</v>
      </c>
      <c r="AP17" s="4">
        <v>1.0</v>
      </c>
      <c r="AQ17" s="4">
        <v>1.0</v>
      </c>
      <c r="AR17" s="4">
        <v>1.0</v>
      </c>
      <c r="AS17" s="4">
        <v>0.0</v>
      </c>
      <c r="AT17" s="4">
        <v>2.0</v>
      </c>
      <c r="AU17" s="4">
        <v>1.0</v>
      </c>
      <c r="AV17" s="4">
        <v>2.0</v>
      </c>
      <c r="AW17" s="4">
        <v>1.0</v>
      </c>
      <c r="AX17" s="4">
        <v>2.0</v>
      </c>
      <c r="AY17" s="4">
        <v>2.0</v>
      </c>
      <c r="AZ17" s="4">
        <v>0.0</v>
      </c>
      <c r="BA17" s="4">
        <v>2.0</v>
      </c>
      <c r="BB17" s="4">
        <v>1.0</v>
      </c>
      <c r="BC17" s="4">
        <v>2.0</v>
      </c>
    </row>
    <row r="18">
      <c r="A18" s="4" t="s">
        <v>34</v>
      </c>
      <c r="B18" s="8">
        <f t="shared" si="2"/>
        <v>35</v>
      </c>
      <c r="C18" s="4">
        <v>1.0</v>
      </c>
      <c r="D18" s="4">
        <v>0.0</v>
      </c>
      <c r="E18" s="4">
        <v>1.0</v>
      </c>
      <c r="F18" s="4">
        <v>3.0</v>
      </c>
      <c r="G18" s="4">
        <v>5.0</v>
      </c>
      <c r="H18" s="4">
        <v>0.0</v>
      </c>
      <c r="I18" s="4">
        <v>0.0</v>
      </c>
      <c r="J18" s="4">
        <v>2.0</v>
      </c>
      <c r="K18" s="4">
        <v>1.0</v>
      </c>
      <c r="L18" s="4">
        <v>0.0</v>
      </c>
      <c r="M18" s="4">
        <v>1.0</v>
      </c>
      <c r="N18" s="4">
        <v>0.0</v>
      </c>
      <c r="O18" s="4">
        <v>1.0</v>
      </c>
      <c r="P18" s="4">
        <v>2.0</v>
      </c>
      <c r="Q18" s="4">
        <v>0.0</v>
      </c>
      <c r="R18" s="4">
        <v>0.0</v>
      </c>
      <c r="S18" s="4">
        <v>0.0</v>
      </c>
      <c r="T18" s="4">
        <v>2.0</v>
      </c>
      <c r="U18" s="4">
        <v>1.0</v>
      </c>
      <c r="V18" s="4">
        <v>0.0</v>
      </c>
      <c r="W18" s="4">
        <v>0.0</v>
      </c>
      <c r="X18" s="4">
        <v>0.0</v>
      </c>
      <c r="Y18" s="4">
        <v>0.0</v>
      </c>
      <c r="Z18" s="4">
        <v>0.0</v>
      </c>
      <c r="AA18" s="4">
        <v>1.0</v>
      </c>
      <c r="AB18" s="4">
        <v>1.0</v>
      </c>
      <c r="AC18" s="4">
        <v>0.0</v>
      </c>
      <c r="AD18" s="4">
        <v>1.0</v>
      </c>
      <c r="AE18" s="4">
        <v>1.0</v>
      </c>
      <c r="AF18" s="4">
        <v>0.0</v>
      </c>
      <c r="AG18" s="4">
        <v>1.0</v>
      </c>
      <c r="AH18" s="4">
        <v>0.0</v>
      </c>
      <c r="AI18" s="4">
        <v>1.0</v>
      </c>
      <c r="AJ18" s="4">
        <v>0.0</v>
      </c>
      <c r="AK18" s="4">
        <v>0.0</v>
      </c>
      <c r="AL18" s="4">
        <v>0.0</v>
      </c>
      <c r="AM18" s="4">
        <v>0.0</v>
      </c>
      <c r="AN18" s="4">
        <v>0.0</v>
      </c>
      <c r="AO18" s="4">
        <v>0.0</v>
      </c>
      <c r="AP18" s="4">
        <v>0.0</v>
      </c>
      <c r="AQ18" s="4">
        <v>1.0</v>
      </c>
      <c r="AR18" s="4">
        <v>0.0</v>
      </c>
      <c r="AS18" s="4">
        <v>1.0</v>
      </c>
      <c r="AT18" s="4">
        <v>1.0</v>
      </c>
      <c r="AU18" s="4">
        <v>2.0</v>
      </c>
      <c r="AV18" s="4">
        <v>0.0</v>
      </c>
      <c r="AW18" s="4">
        <v>0.0</v>
      </c>
      <c r="AX18" s="4">
        <v>0.0</v>
      </c>
      <c r="AY18" s="4">
        <v>1.0</v>
      </c>
      <c r="AZ18" s="4">
        <v>1.0</v>
      </c>
      <c r="BA18" s="4">
        <v>0.0</v>
      </c>
      <c r="BB18" s="4">
        <v>1.0</v>
      </c>
      <c r="BC18" s="4">
        <v>1.0</v>
      </c>
    </row>
    <row r="19">
      <c r="A19" s="4" t="s">
        <v>43</v>
      </c>
      <c r="B19" s="8">
        <f t="shared" si="2"/>
        <v>19</v>
      </c>
      <c r="C19" s="4">
        <v>0.0</v>
      </c>
      <c r="D19" s="4">
        <v>0.0</v>
      </c>
      <c r="E19" s="4">
        <v>0.0</v>
      </c>
      <c r="F19" s="4">
        <v>0.0</v>
      </c>
      <c r="G19" s="4">
        <v>0.0</v>
      </c>
      <c r="H19" s="4">
        <v>0.0</v>
      </c>
      <c r="I19" s="4">
        <v>1.0</v>
      </c>
      <c r="J19" s="4">
        <v>0.0</v>
      </c>
      <c r="K19" s="4">
        <v>0.0</v>
      </c>
      <c r="L19" s="4">
        <v>0.0</v>
      </c>
      <c r="M19" s="4">
        <v>0.0</v>
      </c>
      <c r="N19" s="4">
        <v>0.0</v>
      </c>
      <c r="O19" s="4">
        <v>0.0</v>
      </c>
      <c r="P19" s="4">
        <v>0.0</v>
      </c>
      <c r="Q19" s="4">
        <v>1.0</v>
      </c>
      <c r="R19" s="4">
        <v>0.0</v>
      </c>
      <c r="S19" s="4">
        <v>0.0</v>
      </c>
      <c r="T19" s="4">
        <v>0.0</v>
      </c>
      <c r="U19" s="4">
        <v>0.0</v>
      </c>
      <c r="V19" s="4">
        <v>0.0</v>
      </c>
      <c r="W19" s="4">
        <v>0.0</v>
      </c>
      <c r="X19" s="4">
        <v>0.0</v>
      </c>
      <c r="Y19" s="4">
        <v>1.0</v>
      </c>
      <c r="Z19" s="4">
        <v>1.0</v>
      </c>
      <c r="AA19" s="4">
        <v>1.0</v>
      </c>
      <c r="AB19" s="4">
        <v>2.0</v>
      </c>
      <c r="AC19" s="4">
        <v>1.0</v>
      </c>
      <c r="AD19" s="4">
        <v>1.0</v>
      </c>
      <c r="AE19" s="4">
        <v>0.0</v>
      </c>
      <c r="AF19" s="4">
        <v>0.0</v>
      </c>
      <c r="AG19" s="4">
        <v>2.0</v>
      </c>
      <c r="AH19" s="4">
        <v>0.0</v>
      </c>
      <c r="AI19" s="4">
        <v>1.0</v>
      </c>
      <c r="AJ19" s="4">
        <v>1.0</v>
      </c>
      <c r="AK19" s="4">
        <v>0.0</v>
      </c>
      <c r="AL19" s="4">
        <v>0.0</v>
      </c>
      <c r="AM19" s="4">
        <v>0.0</v>
      </c>
      <c r="AN19" s="4">
        <v>0.0</v>
      </c>
      <c r="AO19" s="4">
        <v>0.0</v>
      </c>
      <c r="AP19" s="4">
        <v>0.0</v>
      </c>
      <c r="AQ19" s="4">
        <v>0.0</v>
      </c>
      <c r="AR19" s="4">
        <v>0.0</v>
      </c>
      <c r="AS19" s="4">
        <v>0.0</v>
      </c>
      <c r="AT19" s="4">
        <v>0.0</v>
      </c>
      <c r="AU19" s="4">
        <v>1.0</v>
      </c>
      <c r="AV19" s="4">
        <v>1.0</v>
      </c>
      <c r="AW19" s="4">
        <v>1.0</v>
      </c>
      <c r="AX19" s="4">
        <v>0.0</v>
      </c>
      <c r="AY19" s="4">
        <v>0.0</v>
      </c>
      <c r="AZ19" s="4">
        <v>1.0</v>
      </c>
      <c r="BA19" s="4">
        <v>0.0</v>
      </c>
      <c r="BB19" s="4">
        <v>1.0</v>
      </c>
      <c r="BC19" s="4">
        <v>1.0</v>
      </c>
    </row>
    <row r="20">
      <c r="A20" s="4" t="s">
        <v>29</v>
      </c>
      <c r="B20" s="8">
        <f t="shared" si="2"/>
        <v>14</v>
      </c>
      <c r="C20" s="4">
        <v>0.0</v>
      </c>
      <c r="D20" s="4">
        <v>1.0</v>
      </c>
      <c r="E20" s="4">
        <v>3.0</v>
      </c>
      <c r="F20" s="4">
        <v>2.0</v>
      </c>
      <c r="G20" s="4">
        <v>0.0</v>
      </c>
      <c r="H20" s="4">
        <v>0.0</v>
      </c>
      <c r="I20" s="4">
        <v>0.0</v>
      </c>
      <c r="J20" s="4">
        <v>0.0</v>
      </c>
      <c r="K20" s="4">
        <v>0.0</v>
      </c>
      <c r="L20" s="4">
        <v>0.0</v>
      </c>
      <c r="M20" s="4">
        <v>0.0</v>
      </c>
      <c r="N20" s="4">
        <v>1.0</v>
      </c>
      <c r="O20" s="4">
        <v>1.0</v>
      </c>
      <c r="P20" s="4">
        <v>1.0</v>
      </c>
      <c r="Q20" s="4">
        <v>0.0</v>
      </c>
      <c r="R20" s="4">
        <v>0.0</v>
      </c>
      <c r="S20" s="4">
        <v>0.0</v>
      </c>
      <c r="T20" s="4">
        <v>0.0</v>
      </c>
      <c r="U20" s="4">
        <v>1.0</v>
      </c>
      <c r="V20" s="4">
        <v>0.0</v>
      </c>
      <c r="W20" s="4">
        <v>0.0</v>
      </c>
      <c r="X20" s="4">
        <v>0.0</v>
      </c>
      <c r="Y20" s="4">
        <v>1.0</v>
      </c>
      <c r="Z20" s="4">
        <v>0.0</v>
      </c>
      <c r="AA20" s="4">
        <v>0.0</v>
      </c>
      <c r="AB20" s="4">
        <v>0.0</v>
      </c>
      <c r="AC20" s="4">
        <v>0.0</v>
      </c>
      <c r="AD20" s="4">
        <v>0.0</v>
      </c>
      <c r="AE20" s="4">
        <v>0.0</v>
      </c>
      <c r="AF20" s="4">
        <v>0.0</v>
      </c>
      <c r="AG20" s="4">
        <v>0.0</v>
      </c>
      <c r="AH20" s="4">
        <v>0.0</v>
      </c>
      <c r="AI20" s="4">
        <v>0.0</v>
      </c>
      <c r="AJ20" s="4">
        <v>0.0</v>
      </c>
      <c r="AK20" s="4">
        <v>0.0</v>
      </c>
      <c r="AL20" s="4">
        <v>0.0</v>
      </c>
      <c r="AM20" s="4">
        <v>0.0</v>
      </c>
      <c r="AN20" s="4">
        <v>0.0</v>
      </c>
      <c r="AO20" s="4">
        <v>0.0</v>
      </c>
      <c r="AP20" s="4">
        <v>0.0</v>
      </c>
      <c r="AQ20" s="4">
        <v>0.0</v>
      </c>
      <c r="AR20" s="4">
        <v>0.0</v>
      </c>
      <c r="AS20" s="4">
        <v>0.0</v>
      </c>
      <c r="AT20" s="4">
        <v>0.0</v>
      </c>
      <c r="AU20" s="4">
        <v>0.0</v>
      </c>
      <c r="AV20" s="4">
        <v>0.0</v>
      </c>
      <c r="AW20" s="4">
        <v>0.0</v>
      </c>
      <c r="AX20" s="4">
        <v>1.0</v>
      </c>
      <c r="AY20" s="4">
        <v>1.0</v>
      </c>
      <c r="AZ20" s="4">
        <v>0.0</v>
      </c>
      <c r="BA20" s="4">
        <v>0.0</v>
      </c>
      <c r="BB20" s="4">
        <v>0.0</v>
      </c>
      <c r="BC20" s="4">
        <v>1.0</v>
      </c>
    </row>
    <row r="21">
      <c r="A21" s="4" t="s">
        <v>39</v>
      </c>
      <c r="B21" s="8">
        <f t="shared" si="2"/>
        <v>13</v>
      </c>
      <c r="C21" s="4">
        <v>0.0</v>
      </c>
      <c r="D21" s="4">
        <v>0.0</v>
      </c>
      <c r="E21" s="4">
        <v>0.0</v>
      </c>
      <c r="F21" s="4">
        <v>0.0</v>
      </c>
      <c r="G21" s="4">
        <v>0.0</v>
      </c>
      <c r="H21" s="4">
        <v>0.0</v>
      </c>
      <c r="I21" s="4">
        <v>0.0</v>
      </c>
      <c r="J21" s="4">
        <v>0.0</v>
      </c>
      <c r="K21" s="4">
        <v>0.0</v>
      </c>
      <c r="L21" s="4">
        <v>0.0</v>
      </c>
      <c r="M21" s="4">
        <v>0.0</v>
      </c>
      <c r="N21" s="4">
        <v>0.0</v>
      </c>
      <c r="O21" s="4">
        <v>1.0</v>
      </c>
      <c r="P21" s="4">
        <v>0.0</v>
      </c>
      <c r="Q21" s="4">
        <v>0.0</v>
      </c>
      <c r="R21" s="4">
        <v>0.0</v>
      </c>
      <c r="S21" s="4">
        <v>0.0</v>
      </c>
      <c r="T21" s="4">
        <v>0.0</v>
      </c>
      <c r="U21" s="4">
        <v>1.0</v>
      </c>
      <c r="V21" s="4">
        <v>0.0</v>
      </c>
      <c r="W21" s="4">
        <v>3.0</v>
      </c>
      <c r="X21" s="4">
        <v>1.0</v>
      </c>
      <c r="Y21" s="4">
        <v>1.0</v>
      </c>
      <c r="Z21" s="4">
        <v>3.0</v>
      </c>
      <c r="AA21" s="4">
        <v>2.0</v>
      </c>
      <c r="AB21" s="4">
        <v>0.0</v>
      </c>
      <c r="AC21" s="4">
        <v>0.0</v>
      </c>
      <c r="AD21" s="4">
        <v>0.0</v>
      </c>
      <c r="AE21" s="4">
        <v>0.0</v>
      </c>
      <c r="AF21" s="4">
        <v>0.0</v>
      </c>
      <c r="AG21" s="4">
        <v>0.0</v>
      </c>
      <c r="AH21" s="4">
        <v>0.0</v>
      </c>
      <c r="AI21" s="4">
        <v>0.0</v>
      </c>
      <c r="AJ21" s="4">
        <v>0.0</v>
      </c>
      <c r="AK21" s="4">
        <v>0.0</v>
      </c>
      <c r="AL21" s="4">
        <v>0.0</v>
      </c>
      <c r="AM21" s="4">
        <v>0.0</v>
      </c>
      <c r="AN21" s="4">
        <v>0.0</v>
      </c>
      <c r="AO21" s="4">
        <v>0.0</v>
      </c>
      <c r="AP21" s="4">
        <v>0.0</v>
      </c>
      <c r="AQ21" s="4">
        <v>0.0</v>
      </c>
      <c r="AR21" s="4">
        <v>0.0</v>
      </c>
      <c r="AS21" s="4">
        <v>0.0</v>
      </c>
      <c r="AT21" s="4">
        <v>0.0</v>
      </c>
      <c r="AU21" s="4">
        <v>0.0</v>
      </c>
      <c r="AV21" s="4">
        <v>0.0</v>
      </c>
      <c r="AW21" s="4">
        <v>0.0</v>
      </c>
      <c r="AX21" s="4">
        <v>0.0</v>
      </c>
      <c r="AY21" s="4">
        <v>0.0</v>
      </c>
      <c r="AZ21" s="4">
        <v>1.0</v>
      </c>
      <c r="BA21" s="4">
        <v>0.0</v>
      </c>
      <c r="BB21" s="4">
        <v>0.0</v>
      </c>
      <c r="BC21" s="4">
        <v>0.0</v>
      </c>
    </row>
    <row r="22">
      <c r="A22" s="4" t="s">
        <v>33</v>
      </c>
      <c r="B22" s="8">
        <f t="shared" si="2"/>
        <v>10</v>
      </c>
      <c r="C22" s="4">
        <v>0.0</v>
      </c>
      <c r="D22" s="4">
        <v>0.0</v>
      </c>
      <c r="E22" s="4">
        <v>0.0</v>
      </c>
      <c r="F22" s="4">
        <v>0.0</v>
      </c>
      <c r="G22" s="4">
        <v>0.0</v>
      </c>
      <c r="H22" s="4">
        <v>0.0</v>
      </c>
      <c r="I22" s="4">
        <v>0.0</v>
      </c>
      <c r="J22" s="4">
        <v>0.0</v>
      </c>
      <c r="K22" s="4">
        <v>0.0</v>
      </c>
      <c r="L22" s="4">
        <v>0.0</v>
      </c>
      <c r="M22" s="4">
        <v>0.0</v>
      </c>
      <c r="N22" s="4">
        <v>2.0</v>
      </c>
      <c r="O22" s="4">
        <v>1.0</v>
      </c>
      <c r="P22" s="4">
        <v>1.0</v>
      </c>
      <c r="Q22" s="4">
        <v>0.0</v>
      </c>
      <c r="R22" s="4">
        <v>0.0</v>
      </c>
      <c r="S22" s="4">
        <v>0.0</v>
      </c>
      <c r="T22" s="4">
        <v>1.0</v>
      </c>
      <c r="U22" s="4">
        <v>0.0</v>
      </c>
      <c r="V22" s="4">
        <v>0.0</v>
      </c>
      <c r="W22" s="4">
        <v>0.0</v>
      </c>
      <c r="X22" s="4">
        <v>0.0</v>
      </c>
      <c r="Y22" s="4">
        <v>0.0</v>
      </c>
      <c r="Z22" s="4">
        <v>1.0</v>
      </c>
      <c r="AA22" s="4">
        <v>1.0</v>
      </c>
      <c r="AB22" s="4">
        <v>0.0</v>
      </c>
      <c r="AC22" s="4">
        <v>0.0</v>
      </c>
      <c r="AD22" s="4">
        <v>0.0</v>
      </c>
      <c r="AE22" s="4">
        <v>0.0</v>
      </c>
      <c r="AF22" s="4">
        <v>0.0</v>
      </c>
      <c r="AG22" s="4">
        <v>0.0</v>
      </c>
      <c r="AH22" s="4">
        <v>0.0</v>
      </c>
      <c r="AI22" s="4">
        <v>0.0</v>
      </c>
      <c r="AJ22" s="4">
        <v>0.0</v>
      </c>
      <c r="AK22" s="4">
        <v>0.0</v>
      </c>
      <c r="AL22" s="4">
        <v>0.0</v>
      </c>
      <c r="AM22" s="4">
        <v>0.0</v>
      </c>
      <c r="AN22" s="4">
        <v>0.0</v>
      </c>
      <c r="AO22" s="4">
        <v>0.0</v>
      </c>
      <c r="AP22" s="4">
        <v>0.0</v>
      </c>
      <c r="AQ22" s="4">
        <v>1.0</v>
      </c>
      <c r="AR22" s="4">
        <v>0.0</v>
      </c>
      <c r="AS22" s="4">
        <v>0.0</v>
      </c>
      <c r="AT22" s="4">
        <v>0.0</v>
      </c>
      <c r="AU22" s="4">
        <v>0.0</v>
      </c>
      <c r="AV22" s="4">
        <v>0.0</v>
      </c>
      <c r="AW22" s="4">
        <v>0.0</v>
      </c>
      <c r="AX22" s="4">
        <v>0.0</v>
      </c>
      <c r="AY22" s="4">
        <v>0.0</v>
      </c>
      <c r="AZ22" s="4">
        <v>0.0</v>
      </c>
      <c r="BA22" s="4">
        <v>0.0</v>
      </c>
      <c r="BB22" s="4">
        <v>1.0</v>
      </c>
      <c r="BC22" s="4">
        <v>1.0</v>
      </c>
    </row>
    <row r="23">
      <c r="A23" s="4" t="s">
        <v>38</v>
      </c>
      <c r="B23" s="8">
        <f t="shared" si="2"/>
        <v>10</v>
      </c>
      <c r="C23" s="4">
        <v>0.0</v>
      </c>
      <c r="D23" s="4">
        <v>1.0</v>
      </c>
      <c r="E23" s="4">
        <v>0.0</v>
      </c>
      <c r="F23" s="4">
        <v>0.0</v>
      </c>
      <c r="G23" s="4">
        <v>0.0</v>
      </c>
      <c r="H23" s="4">
        <v>0.0</v>
      </c>
      <c r="I23" s="4">
        <v>0.0</v>
      </c>
      <c r="J23" s="4">
        <v>0.0</v>
      </c>
      <c r="K23" s="4">
        <v>0.0</v>
      </c>
      <c r="L23" s="4">
        <v>0.0</v>
      </c>
      <c r="M23" s="4">
        <v>1.0</v>
      </c>
      <c r="N23" s="4">
        <v>0.0</v>
      </c>
      <c r="O23" s="4">
        <v>0.0</v>
      </c>
      <c r="P23" s="4">
        <v>1.0</v>
      </c>
      <c r="Q23" s="4">
        <v>0.0</v>
      </c>
      <c r="R23" s="4">
        <v>0.0</v>
      </c>
      <c r="S23" s="4">
        <v>1.0</v>
      </c>
      <c r="T23" s="4">
        <v>0.0</v>
      </c>
      <c r="U23" s="4">
        <v>0.0</v>
      </c>
      <c r="V23" s="4">
        <v>0.0</v>
      </c>
      <c r="W23" s="4">
        <v>0.0</v>
      </c>
      <c r="X23" s="4">
        <v>0.0</v>
      </c>
      <c r="Y23" s="4">
        <v>0.0</v>
      </c>
      <c r="Z23" s="4">
        <v>0.0</v>
      </c>
      <c r="AA23" s="4">
        <v>0.0</v>
      </c>
      <c r="AB23" s="4">
        <v>1.0</v>
      </c>
      <c r="AC23" s="4">
        <v>1.0</v>
      </c>
      <c r="AD23" s="4">
        <v>0.0</v>
      </c>
      <c r="AE23" s="4">
        <v>0.0</v>
      </c>
      <c r="AF23" s="4">
        <v>1.0</v>
      </c>
      <c r="AG23" s="4">
        <v>0.0</v>
      </c>
      <c r="AH23" s="4">
        <v>0.0</v>
      </c>
      <c r="AI23" s="4">
        <v>0.0</v>
      </c>
      <c r="AJ23" s="4">
        <v>0.0</v>
      </c>
      <c r="AK23" s="4">
        <v>0.0</v>
      </c>
      <c r="AL23" s="4">
        <v>1.0</v>
      </c>
      <c r="AM23" s="4">
        <v>0.0</v>
      </c>
      <c r="AN23" s="4">
        <v>0.0</v>
      </c>
      <c r="AO23" s="4">
        <v>0.0</v>
      </c>
      <c r="AP23" s="4">
        <v>0.0</v>
      </c>
      <c r="AQ23" s="4">
        <v>0.0</v>
      </c>
      <c r="AR23" s="4">
        <v>0.0</v>
      </c>
      <c r="AS23" s="4">
        <v>0.0</v>
      </c>
      <c r="AT23" s="4">
        <v>0.0</v>
      </c>
      <c r="AU23" s="4">
        <v>0.0</v>
      </c>
      <c r="AV23" s="4">
        <v>0.0</v>
      </c>
      <c r="AW23" s="4">
        <v>0.0</v>
      </c>
      <c r="AX23" s="4">
        <v>0.0</v>
      </c>
      <c r="AY23" s="4">
        <v>0.0</v>
      </c>
      <c r="AZ23" s="4">
        <v>0.0</v>
      </c>
      <c r="BA23" s="4">
        <v>1.0</v>
      </c>
      <c r="BB23" s="4">
        <v>0.0</v>
      </c>
      <c r="BC23" s="4">
        <v>1.0</v>
      </c>
    </row>
    <row r="24">
      <c r="A24" s="4" t="s">
        <v>40</v>
      </c>
      <c r="B24" s="8">
        <f t="shared" si="2"/>
        <v>10</v>
      </c>
      <c r="C24" s="4">
        <v>0.0</v>
      </c>
      <c r="D24" s="4">
        <v>0.0</v>
      </c>
      <c r="E24" s="4">
        <v>1.0</v>
      </c>
      <c r="F24" s="4">
        <v>1.0</v>
      </c>
      <c r="G24" s="4">
        <v>1.0</v>
      </c>
      <c r="H24" s="4">
        <v>1.0</v>
      </c>
      <c r="I24" s="4">
        <v>0.0</v>
      </c>
      <c r="J24" s="4">
        <v>0.0</v>
      </c>
      <c r="K24" s="4">
        <v>1.0</v>
      </c>
      <c r="L24" s="4">
        <v>0.0</v>
      </c>
      <c r="M24" s="4">
        <v>0.0</v>
      </c>
      <c r="N24" s="4">
        <v>0.0</v>
      </c>
      <c r="O24" s="4">
        <v>0.0</v>
      </c>
      <c r="P24" s="4">
        <v>0.0</v>
      </c>
      <c r="Q24" s="4">
        <v>0.0</v>
      </c>
      <c r="R24" s="4">
        <v>0.0</v>
      </c>
      <c r="S24" s="4">
        <v>0.0</v>
      </c>
      <c r="T24" s="4">
        <v>0.0</v>
      </c>
      <c r="U24" s="4">
        <v>1.0</v>
      </c>
      <c r="V24" s="4">
        <v>0.0</v>
      </c>
      <c r="W24" s="4">
        <v>0.0</v>
      </c>
      <c r="X24" s="4">
        <v>0.0</v>
      </c>
      <c r="Y24" s="4">
        <v>0.0</v>
      </c>
      <c r="Z24" s="4">
        <v>0.0</v>
      </c>
      <c r="AA24" s="4">
        <v>0.0</v>
      </c>
      <c r="AB24" s="4">
        <v>0.0</v>
      </c>
      <c r="AC24" s="4">
        <v>1.0</v>
      </c>
      <c r="AD24" s="4">
        <v>1.0</v>
      </c>
      <c r="AE24" s="4">
        <v>2.0</v>
      </c>
      <c r="AF24" s="4">
        <v>0.0</v>
      </c>
      <c r="AG24" s="4">
        <v>0.0</v>
      </c>
      <c r="AH24" s="4">
        <v>0.0</v>
      </c>
      <c r="AI24" s="4">
        <v>0.0</v>
      </c>
      <c r="AJ24" s="4">
        <v>0.0</v>
      </c>
      <c r="AK24" s="4">
        <v>0.0</v>
      </c>
      <c r="AL24" s="4">
        <v>0.0</v>
      </c>
      <c r="AM24" s="4">
        <v>0.0</v>
      </c>
      <c r="AN24" s="4">
        <v>0.0</v>
      </c>
      <c r="AO24" s="4">
        <v>0.0</v>
      </c>
      <c r="AP24" s="4">
        <v>0.0</v>
      </c>
      <c r="AQ24" s="4">
        <v>0.0</v>
      </c>
      <c r="AR24" s="4">
        <v>0.0</v>
      </c>
      <c r="AS24" s="4">
        <v>0.0</v>
      </c>
      <c r="AT24" s="4">
        <v>0.0</v>
      </c>
      <c r="AU24" s="4">
        <v>0.0</v>
      </c>
      <c r="AV24" s="4">
        <v>0.0</v>
      </c>
      <c r="AW24" s="4">
        <v>0.0</v>
      </c>
      <c r="AX24" s="4">
        <v>0.0</v>
      </c>
      <c r="AY24" s="4">
        <v>0.0</v>
      </c>
      <c r="AZ24" s="4">
        <v>0.0</v>
      </c>
      <c r="BA24" s="4">
        <v>0.0</v>
      </c>
      <c r="BB24" s="4">
        <v>0.0</v>
      </c>
      <c r="BC24" s="4">
        <v>0.0</v>
      </c>
    </row>
    <row r="25">
      <c r="A25" s="4" t="s">
        <v>37</v>
      </c>
      <c r="B25" s="8">
        <f t="shared" si="2"/>
        <v>8</v>
      </c>
      <c r="C25" s="4">
        <v>0.0</v>
      </c>
      <c r="D25" s="4">
        <v>1.0</v>
      </c>
      <c r="E25" s="4">
        <v>0.0</v>
      </c>
      <c r="F25" s="4">
        <v>0.0</v>
      </c>
      <c r="G25" s="4">
        <v>1.0</v>
      </c>
      <c r="H25" s="4">
        <v>0.0</v>
      </c>
      <c r="I25" s="4">
        <v>1.0</v>
      </c>
      <c r="J25" s="4">
        <v>0.0</v>
      </c>
      <c r="K25" s="4">
        <v>0.0</v>
      </c>
      <c r="L25" s="4">
        <v>0.0</v>
      </c>
      <c r="M25" s="4">
        <v>0.0</v>
      </c>
      <c r="N25" s="4">
        <v>0.0</v>
      </c>
      <c r="O25" s="4">
        <v>0.0</v>
      </c>
      <c r="P25" s="4">
        <v>0.0</v>
      </c>
      <c r="Q25" s="4">
        <v>0.0</v>
      </c>
      <c r="R25" s="4">
        <v>0.0</v>
      </c>
      <c r="S25" s="4">
        <v>1.0</v>
      </c>
      <c r="T25" s="4">
        <v>1.0</v>
      </c>
      <c r="U25" s="4">
        <v>0.0</v>
      </c>
      <c r="V25" s="4">
        <v>0.0</v>
      </c>
      <c r="W25" s="4">
        <v>0.0</v>
      </c>
      <c r="X25" s="4">
        <v>0.0</v>
      </c>
      <c r="Y25" s="4">
        <v>0.0</v>
      </c>
      <c r="Z25" s="4">
        <v>0.0</v>
      </c>
      <c r="AA25" s="4">
        <v>0.0</v>
      </c>
      <c r="AB25" s="4">
        <v>0.0</v>
      </c>
      <c r="AC25" s="4">
        <v>0.0</v>
      </c>
      <c r="AD25" s="4">
        <v>0.0</v>
      </c>
      <c r="AE25" s="4">
        <v>0.0</v>
      </c>
      <c r="AF25" s="4">
        <v>1.0</v>
      </c>
      <c r="AG25" s="4">
        <v>0.0</v>
      </c>
      <c r="AH25" s="4">
        <v>0.0</v>
      </c>
      <c r="AI25" s="4">
        <v>0.0</v>
      </c>
      <c r="AJ25" s="4">
        <v>1.0</v>
      </c>
      <c r="AK25" s="4">
        <v>0.0</v>
      </c>
      <c r="AL25" s="4">
        <v>0.0</v>
      </c>
      <c r="AM25" s="4">
        <v>0.0</v>
      </c>
      <c r="AN25" s="4">
        <v>0.0</v>
      </c>
      <c r="AO25" s="4">
        <v>0.0</v>
      </c>
      <c r="AP25" s="4">
        <v>1.0</v>
      </c>
      <c r="AQ25" s="4">
        <v>0.0</v>
      </c>
      <c r="AR25" s="4">
        <v>0.0</v>
      </c>
      <c r="AS25" s="4">
        <v>0.0</v>
      </c>
      <c r="AT25" s="4">
        <v>0.0</v>
      </c>
      <c r="AU25" s="4">
        <v>0.0</v>
      </c>
      <c r="AV25" s="4">
        <v>0.0</v>
      </c>
      <c r="AW25" s="4">
        <v>0.0</v>
      </c>
      <c r="AX25" s="4">
        <v>0.0</v>
      </c>
      <c r="AY25" s="4">
        <v>0.0</v>
      </c>
      <c r="AZ25" s="4">
        <v>0.0</v>
      </c>
      <c r="BA25" s="4">
        <v>0.0</v>
      </c>
      <c r="BB25" s="4">
        <v>0.0</v>
      </c>
      <c r="BC25" s="4">
        <v>0.0</v>
      </c>
    </row>
    <row r="26">
      <c r="A26" s="4" t="s">
        <v>1262</v>
      </c>
      <c r="B26" s="8">
        <f t="shared" si="2"/>
        <v>6</v>
      </c>
      <c r="C26" s="4">
        <v>0.0</v>
      </c>
      <c r="D26" s="4">
        <v>0.0</v>
      </c>
      <c r="E26" s="4">
        <v>0.0</v>
      </c>
      <c r="F26" s="4">
        <v>0.0</v>
      </c>
      <c r="G26" s="4">
        <v>0.0</v>
      </c>
      <c r="H26" s="4">
        <v>0.0</v>
      </c>
      <c r="I26" s="4">
        <v>0.0</v>
      </c>
      <c r="J26" s="4">
        <v>0.0</v>
      </c>
      <c r="K26" s="4">
        <v>0.0</v>
      </c>
      <c r="L26" s="4">
        <v>0.0</v>
      </c>
      <c r="M26" s="4">
        <v>0.0</v>
      </c>
      <c r="N26" s="4">
        <v>0.0</v>
      </c>
      <c r="O26" s="4">
        <v>0.0</v>
      </c>
      <c r="P26" s="4">
        <v>0.0</v>
      </c>
      <c r="Q26" s="4">
        <v>0.0</v>
      </c>
      <c r="R26" s="4">
        <v>0.0</v>
      </c>
      <c r="S26" s="4">
        <v>1.0</v>
      </c>
      <c r="T26" s="4">
        <v>0.0</v>
      </c>
      <c r="U26" s="4">
        <v>0.0</v>
      </c>
      <c r="V26" s="4">
        <v>0.0</v>
      </c>
      <c r="W26" s="4">
        <v>0.0</v>
      </c>
      <c r="X26" s="4">
        <v>0.0</v>
      </c>
      <c r="Y26" s="4">
        <v>0.0</v>
      </c>
      <c r="Z26" s="4">
        <v>0.0</v>
      </c>
      <c r="AA26" s="4">
        <v>1.0</v>
      </c>
      <c r="AB26" s="4">
        <v>1.0</v>
      </c>
      <c r="AC26" s="4">
        <v>0.0</v>
      </c>
      <c r="AD26" s="4">
        <v>0.0</v>
      </c>
      <c r="AE26" s="4">
        <v>0.0</v>
      </c>
      <c r="AF26" s="4">
        <v>0.0</v>
      </c>
      <c r="AG26" s="4">
        <v>0.0</v>
      </c>
      <c r="AH26" s="4">
        <v>0.0</v>
      </c>
      <c r="AI26" s="4">
        <v>0.0</v>
      </c>
      <c r="AJ26" s="4">
        <v>0.0</v>
      </c>
      <c r="AK26" s="4">
        <v>0.0</v>
      </c>
      <c r="AL26" s="4">
        <v>0.0</v>
      </c>
      <c r="AM26" s="4">
        <v>0.0</v>
      </c>
      <c r="AN26" s="4">
        <v>0.0</v>
      </c>
      <c r="AO26" s="4">
        <v>0.0</v>
      </c>
      <c r="AP26" s="4">
        <v>0.0</v>
      </c>
      <c r="AQ26" s="4">
        <v>1.0</v>
      </c>
      <c r="AR26" s="4">
        <v>0.0</v>
      </c>
      <c r="AS26" s="4">
        <v>0.0</v>
      </c>
      <c r="AT26" s="4">
        <v>0.0</v>
      </c>
      <c r="AU26" s="4">
        <v>0.0</v>
      </c>
      <c r="AV26" s="4">
        <v>1.0</v>
      </c>
      <c r="AW26" s="4">
        <v>0.0</v>
      </c>
      <c r="AX26" s="4">
        <v>0.0</v>
      </c>
      <c r="AY26" s="4">
        <v>0.0</v>
      </c>
      <c r="AZ26" s="4">
        <v>0.0</v>
      </c>
      <c r="BA26" s="4">
        <v>0.0</v>
      </c>
      <c r="BB26" s="4">
        <v>0.0</v>
      </c>
      <c r="BC26" s="4">
        <v>1.0</v>
      </c>
    </row>
    <row r="27">
      <c r="A27" s="4" t="s">
        <v>42</v>
      </c>
      <c r="B27" s="8">
        <f t="shared" si="2"/>
        <v>5</v>
      </c>
      <c r="C27" s="4">
        <v>0.0</v>
      </c>
      <c r="D27" s="4">
        <v>0.0</v>
      </c>
      <c r="E27" s="4">
        <v>0.0</v>
      </c>
      <c r="F27" s="4">
        <v>0.0</v>
      </c>
      <c r="G27" s="4">
        <v>0.0</v>
      </c>
      <c r="H27" s="4">
        <v>0.0</v>
      </c>
      <c r="I27" s="4">
        <v>0.0</v>
      </c>
      <c r="J27" s="4">
        <v>0.0</v>
      </c>
      <c r="K27" s="4">
        <v>0.0</v>
      </c>
      <c r="L27" s="4">
        <v>1.0</v>
      </c>
      <c r="M27" s="4">
        <v>0.0</v>
      </c>
      <c r="N27" s="4">
        <v>0.0</v>
      </c>
      <c r="O27" s="4">
        <v>0.0</v>
      </c>
      <c r="P27" s="4">
        <v>0.0</v>
      </c>
      <c r="Q27" s="4">
        <v>0.0</v>
      </c>
      <c r="R27" s="4">
        <v>0.0</v>
      </c>
      <c r="S27" s="4">
        <v>0.0</v>
      </c>
      <c r="T27" s="4">
        <v>1.0</v>
      </c>
      <c r="U27" s="4">
        <v>0.0</v>
      </c>
      <c r="V27" s="4">
        <v>0.0</v>
      </c>
      <c r="W27" s="4">
        <v>0.0</v>
      </c>
      <c r="X27" s="4">
        <v>0.0</v>
      </c>
      <c r="Y27" s="4">
        <v>0.0</v>
      </c>
      <c r="Z27" s="4">
        <v>1.0</v>
      </c>
      <c r="AA27" s="4">
        <v>1.0</v>
      </c>
      <c r="AB27" s="4">
        <v>0.0</v>
      </c>
      <c r="AC27" s="4">
        <v>0.0</v>
      </c>
      <c r="AD27" s="4">
        <v>0.0</v>
      </c>
      <c r="AE27" s="4">
        <v>0.0</v>
      </c>
      <c r="AF27" s="4">
        <v>0.0</v>
      </c>
      <c r="AG27" s="4">
        <v>0.0</v>
      </c>
      <c r="AH27" s="4">
        <v>0.0</v>
      </c>
      <c r="AI27" s="4">
        <v>0.0</v>
      </c>
      <c r="AJ27" s="4">
        <v>0.0</v>
      </c>
      <c r="AK27" s="4">
        <v>0.0</v>
      </c>
      <c r="AL27" s="4">
        <v>0.0</v>
      </c>
      <c r="AM27" s="4">
        <v>0.0</v>
      </c>
      <c r="AN27" s="4">
        <v>0.0</v>
      </c>
      <c r="AO27" s="4">
        <v>0.0</v>
      </c>
      <c r="AP27" s="4">
        <v>0.0</v>
      </c>
      <c r="AQ27" s="4">
        <v>0.0</v>
      </c>
      <c r="AR27" s="4">
        <v>0.0</v>
      </c>
      <c r="AS27" s="4">
        <v>0.0</v>
      </c>
      <c r="AT27" s="4">
        <v>0.0</v>
      </c>
      <c r="AU27" s="4">
        <v>1.0</v>
      </c>
      <c r="AV27" s="4">
        <v>0.0</v>
      </c>
      <c r="AW27" s="4">
        <v>0.0</v>
      </c>
      <c r="AX27" s="4">
        <v>0.0</v>
      </c>
      <c r="AY27" s="4">
        <v>0.0</v>
      </c>
      <c r="AZ27" s="4">
        <v>0.0</v>
      </c>
      <c r="BA27" s="4">
        <v>0.0</v>
      </c>
      <c r="BB27" s="4">
        <v>0.0</v>
      </c>
      <c r="BC27" s="4">
        <v>0.0</v>
      </c>
    </row>
    <row r="28">
      <c r="A28" s="4" t="s">
        <v>45</v>
      </c>
      <c r="B28" s="8">
        <f t="shared" si="2"/>
        <v>5</v>
      </c>
      <c r="C28" s="4">
        <v>0.0</v>
      </c>
      <c r="D28" s="4">
        <v>0.0</v>
      </c>
      <c r="E28" s="4">
        <v>0.0</v>
      </c>
      <c r="F28" s="4">
        <v>0.0</v>
      </c>
      <c r="G28" s="4">
        <v>0.0</v>
      </c>
      <c r="H28" s="4">
        <v>0.0</v>
      </c>
      <c r="I28" s="4">
        <v>1.0</v>
      </c>
      <c r="J28" s="4">
        <v>0.0</v>
      </c>
      <c r="K28" s="4">
        <v>0.0</v>
      </c>
      <c r="L28" s="4">
        <v>0.0</v>
      </c>
      <c r="M28" s="4">
        <v>0.0</v>
      </c>
      <c r="N28" s="4">
        <v>0.0</v>
      </c>
      <c r="O28" s="4">
        <v>0.0</v>
      </c>
      <c r="P28" s="4">
        <v>0.0</v>
      </c>
      <c r="Q28" s="4">
        <v>0.0</v>
      </c>
      <c r="R28" s="4">
        <v>0.0</v>
      </c>
      <c r="S28" s="4">
        <v>1.0</v>
      </c>
      <c r="T28" s="4">
        <v>0.0</v>
      </c>
      <c r="U28" s="4">
        <v>0.0</v>
      </c>
      <c r="V28" s="4">
        <v>0.0</v>
      </c>
      <c r="W28" s="4">
        <v>0.0</v>
      </c>
      <c r="X28" s="4">
        <v>0.0</v>
      </c>
      <c r="Y28" s="4">
        <v>0.0</v>
      </c>
      <c r="Z28" s="4">
        <v>0.0</v>
      </c>
      <c r="AA28" s="4">
        <v>0.0</v>
      </c>
      <c r="AB28" s="4">
        <v>0.0</v>
      </c>
      <c r="AC28" s="4">
        <v>0.0</v>
      </c>
      <c r="AD28" s="4">
        <v>0.0</v>
      </c>
      <c r="AE28" s="4">
        <v>0.0</v>
      </c>
      <c r="AF28" s="4">
        <v>1.0</v>
      </c>
      <c r="AG28" s="4">
        <v>0.0</v>
      </c>
      <c r="AH28" s="4">
        <v>0.0</v>
      </c>
      <c r="AI28" s="4">
        <v>0.0</v>
      </c>
      <c r="AJ28" s="4">
        <v>1.0</v>
      </c>
      <c r="AK28" s="4">
        <v>0.0</v>
      </c>
      <c r="AL28" s="4">
        <v>0.0</v>
      </c>
      <c r="AM28" s="4">
        <v>0.0</v>
      </c>
      <c r="AN28" s="4">
        <v>0.0</v>
      </c>
      <c r="AO28" s="4">
        <v>0.0</v>
      </c>
      <c r="AP28" s="4">
        <v>0.0</v>
      </c>
      <c r="AQ28" s="4">
        <v>0.0</v>
      </c>
      <c r="AR28" s="4">
        <v>0.0</v>
      </c>
      <c r="AS28" s="4">
        <v>0.0</v>
      </c>
      <c r="AT28" s="4">
        <v>0.0</v>
      </c>
      <c r="AU28" s="4">
        <v>0.0</v>
      </c>
      <c r="AV28" s="4">
        <v>0.0</v>
      </c>
      <c r="AW28" s="4">
        <v>0.0</v>
      </c>
      <c r="AX28" s="4">
        <v>0.0</v>
      </c>
      <c r="AY28" s="4">
        <v>0.0</v>
      </c>
      <c r="AZ28" s="4">
        <v>0.0</v>
      </c>
      <c r="BA28" s="4">
        <v>1.0</v>
      </c>
      <c r="BB28" s="4">
        <v>0.0</v>
      </c>
      <c r="BC28" s="4">
        <v>0.0</v>
      </c>
    </row>
    <row r="29">
      <c r="A29" s="4" t="s">
        <v>36</v>
      </c>
      <c r="B29" s="8">
        <f t="shared" si="2"/>
        <v>4</v>
      </c>
      <c r="C29" s="4">
        <v>0.0</v>
      </c>
      <c r="D29" s="4">
        <v>0.0</v>
      </c>
      <c r="E29" s="4">
        <v>0.0</v>
      </c>
      <c r="F29" s="4">
        <v>0.0</v>
      </c>
      <c r="G29" s="4">
        <v>0.0</v>
      </c>
      <c r="H29" s="4">
        <v>0.0</v>
      </c>
      <c r="I29" s="4">
        <v>0.0</v>
      </c>
      <c r="J29" s="4">
        <v>0.0</v>
      </c>
      <c r="K29" s="4">
        <v>0.0</v>
      </c>
      <c r="L29" s="4">
        <v>0.0</v>
      </c>
      <c r="M29" s="4">
        <v>0.0</v>
      </c>
      <c r="N29" s="4">
        <v>0.0</v>
      </c>
      <c r="O29" s="4">
        <v>0.0</v>
      </c>
      <c r="P29" s="4">
        <v>0.0</v>
      </c>
      <c r="Q29" s="4">
        <v>0.0</v>
      </c>
      <c r="R29" s="4">
        <v>0.0</v>
      </c>
      <c r="S29" s="4">
        <v>0.0</v>
      </c>
      <c r="T29" s="4">
        <v>0.0</v>
      </c>
      <c r="U29" s="4">
        <v>0.0</v>
      </c>
      <c r="V29" s="4">
        <v>0.0</v>
      </c>
      <c r="W29" s="4">
        <v>0.0</v>
      </c>
      <c r="X29" s="4">
        <v>0.0</v>
      </c>
      <c r="Y29" s="4">
        <v>0.0</v>
      </c>
      <c r="Z29" s="4">
        <v>0.0</v>
      </c>
      <c r="AA29" s="4">
        <v>0.0</v>
      </c>
      <c r="AB29" s="4">
        <v>0.0</v>
      </c>
      <c r="AC29" s="4">
        <v>0.0</v>
      </c>
      <c r="AD29" s="4">
        <v>0.0</v>
      </c>
      <c r="AE29" s="4">
        <v>0.0</v>
      </c>
      <c r="AF29" s="4">
        <v>0.0</v>
      </c>
      <c r="AG29" s="4">
        <v>0.0</v>
      </c>
      <c r="AH29" s="4">
        <v>0.0</v>
      </c>
      <c r="AI29" s="4">
        <v>0.0</v>
      </c>
      <c r="AJ29" s="4">
        <v>0.0</v>
      </c>
      <c r="AK29" s="4">
        <v>0.0</v>
      </c>
      <c r="AL29" s="4">
        <v>0.0</v>
      </c>
      <c r="AM29" s="4">
        <v>0.0</v>
      </c>
      <c r="AN29" s="4">
        <v>0.0</v>
      </c>
      <c r="AO29" s="4">
        <v>0.0</v>
      </c>
      <c r="AP29" s="4">
        <v>1.0</v>
      </c>
      <c r="AQ29" s="4">
        <v>0.0</v>
      </c>
      <c r="AR29" s="4">
        <v>0.0</v>
      </c>
      <c r="AS29" s="4">
        <v>0.0</v>
      </c>
      <c r="AT29" s="4">
        <v>0.0</v>
      </c>
      <c r="AU29" s="4">
        <v>2.0</v>
      </c>
      <c r="AV29" s="4">
        <v>0.0</v>
      </c>
      <c r="AW29" s="4">
        <v>0.0</v>
      </c>
      <c r="AX29" s="4">
        <v>0.0</v>
      </c>
      <c r="AY29" s="4">
        <v>0.0</v>
      </c>
      <c r="AZ29" s="4">
        <v>1.0</v>
      </c>
      <c r="BA29" s="4">
        <v>0.0</v>
      </c>
      <c r="BB29" s="4">
        <v>0.0</v>
      </c>
      <c r="BC29" s="4">
        <v>0.0</v>
      </c>
    </row>
    <row r="30">
      <c r="A30" s="4" t="s">
        <v>48</v>
      </c>
      <c r="B30" s="8">
        <f t="shared" si="2"/>
        <v>4</v>
      </c>
      <c r="C30" s="4">
        <v>0.0</v>
      </c>
      <c r="D30" s="4">
        <v>0.0</v>
      </c>
      <c r="E30" s="4">
        <v>0.0</v>
      </c>
      <c r="F30" s="4">
        <v>0.0</v>
      </c>
      <c r="G30" s="4">
        <v>0.0</v>
      </c>
      <c r="H30" s="4">
        <v>0.0</v>
      </c>
      <c r="I30" s="4">
        <v>0.0</v>
      </c>
      <c r="J30" s="4">
        <v>0.0</v>
      </c>
      <c r="K30" s="4">
        <v>0.0</v>
      </c>
      <c r="L30" s="4">
        <v>0.0</v>
      </c>
      <c r="M30" s="4">
        <v>0.0</v>
      </c>
      <c r="N30" s="4">
        <v>0.0</v>
      </c>
      <c r="O30" s="4">
        <v>0.0</v>
      </c>
      <c r="P30" s="4">
        <v>0.0</v>
      </c>
      <c r="Q30" s="4">
        <v>0.0</v>
      </c>
      <c r="R30" s="4">
        <v>0.0</v>
      </c>
      <c r="S30" s="4">
        <v>1.0</v>
      </c>
      <c r="T30" s="4">
        <v>0.0</v>
      </c>
      <c r="U30" s="4">
        <v>0.0</v>
      </c>
      <c r="V30" s="4">
        <v>0.0</v>
      </c>
      <c r="W30" s="4">
        <v>0.0</v>
      </c>
      <c r="X30" s="4">
        <v>0.0</v>
      </c>
      <c r="Y30" s="4">
        <v>0.0</v>
      </c>
      <c r="Z30" s="4">
        <v>0.0</v>
      </c>
      <c r="AA30" s="4">
        <v>0.0</v>
      </c>
      <c r="AB30" s="4">
        <v>0.0</v>
      </c>
      <c r="AC30" s="4">
        <v>0.0</v>
      </c>
      <c r="AD30" s="4">
        <v>0.0</v>
      </c>
      <c r="AE30" s="4">
        <v>0.0</v>
      </c>
      <c r="AF30" s="4">
        <v>1.0</v>
      </c>
      <c r="AG30" s="4">
        <v>0.0</v>
      </c>
      <c r="AH30" s="4">
        <v>0.0</v>
      </c>
      <c r="AI30" s="4">
        <v>0.0</v>
      </c>
      <c r="AJ30" s="4">
        <v>1.0</v>
      </c>
      <c r="AK30" s="4">
        <v>0.0</v>
      </c>
      <c r="AL30" s="4">
        <v>0.0</v>
      </c>
      <c r="AM30" s="4">
        <v>0.0</v>
      </c>
      <c r="AN30" s="4">
        <v>0.0</v>
      </c>
      <c r="AO30" s="4">
        <v>0.0</v>
      </c>
      <c r="AP30" s="4">
        <v>0.0</v>
      </c>
      <c r="AQ30" s="4">
        <v>0.0</v>
      </c>
      <c r="AR30" s="4">
        <v>0.0</v>
      </c>
      <c r="AS30" s="4">
        <v>0.0</v>
      </c>
      <c r="AT30" s="4">
        <v>0.0</v>
      </c>
      <c r="AU30" s="4">
        <v>0.0</v>
      </c>
      <c r="AV30" s="4">
        <v>0.0</v>
      </c>
      <c r="AW30" s="4">
        <v>0.0</v>
      </c>
      <c r="AX30" s="4">
        <v>0.0</v>
      </c>
      <c r="AY30" s="4">
        <v>0.0</v>
      </c>
      <c r="AZ30" s="4">
        <v>0.0</v>
      </c>
      <c r="BA30" s="4">
        <v>1.0</v>
      </c>
      <c r="BB30" s="4">
        <v>0.0</v>
      </c>
      <c r="BC30" s="4">
        <v>0.0</v>
      </c>
    </row>
    <row r="31">
      <c r="A31" s="4" t="s">
        <v>41</v>
      </c>
      <c r="B31" s="8">
        <f t="shared" si="2"/>
        <v>4</v>
      </c>
      <c r="C31" s="4">
        <v>0.0</v>
      </c>
      <c r="D31" s="4">
        <v>1.0</v>
      </c>
      <c r="E31" s="4">
        <v>0.0</v>
      </c>
      <c r="F31" s="4">
        <v>0.0</v>
      </c>
      <c r="G31" s="4">
        <v>0.0</v>
      </c>
      <c r="H31" s="4">
        <v>0.0</v>
      </c>
      <c r="I31" s="4">
        <v>0.0</v>
      </c>
      <c r="J31" s="4">
        <v>0.0</v>
      </c>
      <c r="K31" s="4">
        <v>0.0</v>
      </c>
      <c r="L31" s="4">
        <v>0.0</v>
      </c>
      <c r="M31" s="4">
        <v>0.0</v>
      </c>
      <c r="N31" s="4">
        <v>0.0</v>
      </c>
      <c r="O31" s="4">
        <v>0.0</v>
      </c>
      <c r="P31" s="4">
        <v>0.0</v>
      </c>
      <c r="Q31" s="4">
        <v>0.0</v>
      </c>
      <c r="R31" s="4">
        <v>0.0</v>
      </c>
      <c r="S31" s="4">
        <v>0.0</v>
      </c>
      <c r="T31" s="4">
        <v>0.0</v>
      </c>
      <c r="U31" s="4">
        <v>0.0</v>
      </c>
      <c r="V31" s="4">
        <v>0.0</v>
      </c>
      <c r="W31" s="4">
        <v>0.0</v>
      </c>
      <c r="X31" s="4">
        <v>0.0</v>
      </c>
      <c r="Y31" s="4">
        <v>0.0</v>
      </c>
      <c r="Z31" s="4">
        <v>0.0</v>
      </c>
      <c r="AA31" s="4">
        <v>0.0</v>
      </c>
      <c r="AB31" s="4">
        <v>0.0</v>
      </c>
      <c r="AC31" s="4">
        <v>0.0</v>
      </c>
      <c r="AD31" s="4">
        <v>0.0</v>
      </c>
      <c r="AE31" s="4">
        <v>0.0</v>
      </c>
      <c r="AF31" s="4">
        <v>0.0</v>
      </c>
      <c r="AG31" s="4">
        <v>0.0</v>
      </c>
      <c r="AH31" s="4">
        <v>0.0</v>
      </c>
      <c r="AI31" s="4">
        <v>0.0</v>
      </c>
      <c r="AJ31" s="4">
        <v>1.0</v>
      </c>
      <c r="AK31" s="4">
        <v>0.0</v>
      </c>
      <c r="AL31" s="4">
        <v>0.0</v>
      </c>
      <c r="AM31" s="4">
        <v>0.0</v>
      </c>
      <c r="AN31" s="4">
        <v>0.0</v>
      </c>
      <c r="AO31" s="4">
        <v>0.0</v>
      </c>
      <c r="AP31" s="4">
        <v>1.0</v>
      </c>
      <c r="AQ31" s="4">
        <v>0.0</v>
      </c>
      <c r="AR31" s="4">
        <v>0.0</v>
      </c>
      <c r="AS31" s="4">
        <v>0.0</v>
      </c>
      <c r="AT31" s="4">
        <v>0.0</v>
      </c>
      <c r="AU31" s="4">
        <v>0.0</v>
      </c>
      <c r="AV31" s="4">
        <v>0.0</v>
      </c>
      <c r="AW31" s="4">
        <v>0.0</v>
      </c>
      <c r="AX31" s="4">
        <v>0.0</v>
      </c>
      <c r="AY31" s="4">
        <v>0.0</v>
      </c>
      <c r="AZ31" s="4">
        <v>0.0</v>
      </c>
      <c r="BA31" s="4">
        <v>1.0</v>
      </c>
      <c r="BB31" s="4">
        <v>0.0</v>
      </c>
      <c r="BC31" s="4">
        <v>0.0</v>
      </c>
    </row>
    <row r="32">
      <c r="A32" s="4" t="s">
        <v>49</v>
      </c>
      <c r="B32" s="8">
        <f t="shared" si="2"/>
        <v>3</v>
      </c>
      <c r="C32" s="4">
        <v>0.0</v>
      </c>
      <c r="D32" s="4">
        <v>0.0</v>
      </c>
      <c r="E32" s="4">
        <v>0.0</v>
      </c>
      <c r="F32" s="4">
        <v>0.0</v>
      </c>
      <c r="G32" s="4">
        <v>0.0</v>
      </c>
      <c r="H32" s="4">
        <v>0.0</v>
      </c>
      <c r="I32" s="4">
        <v>0.0</v>
      </c>
      <c r="J32" s="4">
        <v>0.0</v>
      </c>
      <c r="K32" s="4">
        <v>0.0</v>
      </c>
      <c r="L32" s="4">
        <v>0.0</v>
      </c>
      <c r="M32" s="4">
        <v>0.0</v>
      </c>
      <c r="N32" s="4">
        <v>0.0</v>
      </c>
      <c r="O32" s="4">
        <v>0.0</v>
      </c>
      <c r="P32" s="4">
        <v>0.0</v>
      </c>
      <c r="Q32" s="4">
        <v>0.0</v>
      </c>
      <c r="R32" s="4">
        <v>0.0</v>
      </c>
      <c r="S32" s="4">
        <v>0.0</v>
      </c>
      <c r="T32" s="4">
        <v>0.0</v>
      </c>
      <c r="U32" s="4">
        <v>0.0</v>
      </c>
      <c r="V32" s="4">
        <v>0.0</v>
      </c>
      <c r="W32" s="4">
        <v>0.0</v>
      </c>
      <c r="X32" s="4">
        <v>0.0</v>
      </c>
      <c r="Y32" s="4">
        <v>1.0</v>
      </c>
      <c r="Z32" s="4">
        <v>0.0</v>
      </c>
      <c r="AA32" s="4">
        <v>0.0</v>
      </c>
      <c r="AB32" s="4">
        <v>0.0</v>
      </c>
      <c r="AC32" s="4">
        <v>0.0</v>
      </c>
      <c r="AD32" s="4">
        <v>0.0</v>
      </c>
      <c r="AE32" s="4">
        <v>0.0</v>
      </c>
      <c r="AF32" s="4">
        <v>0.0</v>
      </c>
      <c r="AG32" s="4">
        <v>0.0</v>
      </c>
      <c r="AH32" s="4">
        <v>0.0</v>
      </c>
      <c r="AI32" s="4">
        <v>0.0</v>
      </c>
      <c r="AJ32" s="4">
        <v>0.0</v>
      </c>
      <c r="AK32" s="4">
        <v>0.0</v>
      </c>
      <c r="AL32" s="4">
        <v>1.0</v>
      </c>
      <c r="AM32" s="4">
        <v>0.0</v>
      </c>
      <c r="AN32" s="4">
        <v>0.0</v>
      </c>
      <c r="AO32" s="4">
        <v>0.0</v>
      </c>
      <c r="AP32" s="4">
        <v>0.0</v>
      </c>
      <c r="AQ32" s="4">
        <v>0.0</v>
      </c>
      <c r="AR32" s="4">
        <v>0.0</v>
      </c>
      <c r="AS32" s="4">
        <v>0.0</v>
      </c>
      <c r="AT32" s="4">
        <v>0.0</v>
      </c>
      <c r="AU32" s="4">
        <v>0.0</v>
      </c>
      <c r="AV32" s="4">
        <v>0.0</v>
      </c>
      <c r="AW32" s="4">
        <v>1.0</v>
      </c>
      <c r="AX32" s="4">
        <v>0.0</v>
      </c>
      <c r="AY32" s="4">
        <v>0.0</v>
      </c>
      <c r="AZ32" s="4">
        <v>0.0</v>
      </c>
      <c r="BA32" s="4">
        <v>0.0</v>
      </c>
      <c r="BB32" s="4">
        <v>0.0</v>
      </c>
      <c r="BC32" s="4">
        <v>0.0</v>
      </c>
    </row>
    <row r="33">
      <c r="A33" s="4" t="s">
        <v>50</v>
      </c>
      <c r="B33" s="8">
        <f t="shared" si="2"/>
        <v>3</v>
      </c>
      <c r="C33" s="4">
        <v>0.0</v>
      </c>
      <c r="D33" s="4">
        <v>0.0</v>
      </c>
      <c r="E33" s="4">
        <v>0.0</v>
      </c>
      <c r="F33" s="4">
        <v>0.0</v>
      </c>
      <c r="G33" s="4">
        <v>0.0</v>
      </c>
      <c r="H33" s="4">
        <v>0.0</v>
      </c>
      <c r="I33" s="4">
        <v>0.0</v>
      </c>
      <c r="J33" s="4">
        <v>0.0</v>
      </c>
      <c r="K33" s="4">
        <v>0.0</v>
      </c>
      <c r="L33" s="4">
        <v>1.0</v>
      </c>
      <c r="M33" s="4">
        <v>0.0</v>
      </c>
      <c r="N33" s="4">
        <v>0.0</v>
      </c>
      <c r="O33" s="4">
        <v>0.0</v>
      </c>
      <c r="P33" s="4">
        <v>0.0</v>
      </c>
      <c r="Q33" s="4">
        <v>0.0</v>
      </c>
      <c r="R33" s="4">
        <v>1.0</v>
      </c>
      <c r="S33" s="4">
        <v>0.0</v>
      </c>
      <c r="T33" s="4">
        <v>0.0</v>
      </c>
      <c r="U33" s="4">
        <v>0.0</v>
      </c>
      <c r="V33" s="4">
        <v>0.0</v>
      </c>
      <c r="W33" s="4">
        <v>0.0</v>
      </c>
      <c r="X33" s="4">
        <v>0.0</v>
      </c>
      <c r="Y33" s="4">
        <v>0.0</v>
      </c>
      <c r="Z33" s="4">
        <v>0.0</v>
      </c>
      <c r="AA33" s="4">
        <v>0.0</v>
      </c>
      <c r="AB33" s="4">
        <v>0.0</v>
      </c>
      <c r="AC33" s="4">
        <v>1.0</v>
      </c>
      <c r="AD33" s="4">
        <v>0.0</v>
      </c>
      <c r="AE33" s="4">
        <v>0.0</v>
      </c>
      <c r="AF33" s="4">
        <v>0.0</v>
      </c>
      <c r="AG33" s="4">
        <v>0.0</v>
      </c>
      <c r="AH33" s="4">
        <v>0.0</v>
      </c>
      <c r="AI33" s="4">
        <v>0.0</v>
      </c>
      <c r="AJ33" s="4">
        <v>0.0</v>
      </c>
      <c r="AK33" s="4">
        <v>0.0</v>
      </c>
      <c r="AL33" s="4">
        <v>0.0</v>
      </c>
      <c r="AM33" s="4">
        <v>0.0</v>
      </c>
      <c r="AN33" s="4">
        <v>0.0</v>
      </c>
      <c r="AO33" s="4">
        <v>0.0</v>
      </c>
      <c r="AP33" s="4">
        <v>0.0</v>
      </c>
      <c r="AQ33" s="4">
        <v>0.0</v>
      </c>
      <c r="AR33" s="4">
        <v>0.0</v>
      </c>
      <c r="AS33" s="4">
        <v>0.0</v>
      </c>
      <c r="AT33" s="4">
        <v>0.0</v>
      </c>
      <c r="AU33" s="4">
        <v>0.0</v>
      </c>
      <c r="AV33" s="4">
        <v>0.0</v>
      </c>
      <c r="AW33" s="4">
        <v>0.0</v>
      </c>
      <c r="AX33" s="4">
        <v>0.0</v>
      </c>
      <c r="AY33" s="4">
        <v>0.0</v>
      </c>
      <c r="AZ33" s="4">
        <v>0.0</v>
      </c>
      <c r="BA33" s="4">
        <v>0.0</v>
      </c>
      <c r="BB33" s="4">
        <v>0.0</v>
      </c>
      <c r="BC33" s="4">
        <v>0.0</v>
      </c>
    </row>
    <row r="34">
      <c r="A34" s="4" t="s">
        <v>47</v>
      </c>
      <c r="B34" s="8">
        <f t="shared" si="2"/>
        <v>1</v>
      </c>
      <c r="C34" s="4">
        <v>0.0</v>
      </c>
      <c r="D34" s="4">
        <v>0.0</v>
      </c>
      <c r="E34" s="4">
        <v>0.0</v>
      </c>
      <c r="F34" s="4">
        <v>0.0</v>
      </c>
      <c r="G34" s="4">
        <v>0.0</v>
      </c>
      <c r="H34" s="4">
        <v>0.0</v>
      </c>
      <c r="I34" s="4">
        <v>0.0</v>
      </c>
      <c r="J34" s="4">
        <v>0.0</v>
      </c>
      <c r="K34" s="4">
        <v>0.0</v>
      </c>
      <c r="L34" s="4">
        <v>0.0</v>
      </c>
      <c r="M34" s="4">
        <v>0.0</v>
      </c>
      <c r="N34" s="4">
        <v>0.0</v>
      </c>
      <c r="O34" s="4">
        <v>0.0</v>
      </c>
      <c r="P34" s="4">
        <v>0.0</v>
      </c>
      <c r="Q34" s="4">
        <v>0.0</v>
      </c>
      <c r="R34" s="4">
        <v>0.0</v>
      </c>
      <c r="S34" s="4">
        <v>0.0</v>
      </c>
      <c r="T34" s="4">
        <v>0.0</v>
      </c>
      <c r="U34" s="4">
        <v>0.0</v>
      </c>
      <c r="V34" s="4">
        <v>0.0</v>
      </c>
      <c r="W34" s="4">
        <v>0.0</v>
      </c>
      <c r="X34" s="4">
        <v>0.0</v>
      </c>
      <c r="Y34" s="4">
        <v>0.0</v>
      </c>
      <c r="Z34" s="4">
        <v>0.0</v>
      </c>
      <c r="AA34" s="4">
        <v>0.0</v>
      </c>
      <c r="AB34" s="4">
        <v>0.0</v>
      </c>
      <c r="AC34" s="4">
        <v>0.0</v>
      </c>
      <c r="AD34" s="4">
        <v>0.0</v>
      </c>
      <c r="AE34" s="4">
        <v>0.0</v>
      </c>
      <c r="AF34" s="4">
        <v>0.0</v>
      </c>
      <c r="AG34" s="4">
        <v>0.0</v>
      </c>
      <c r="AH34" s="4">
        <v>0.0</v>
      </c>
      <c r="AI34" s="4">
        <v>0.0</v>
      </c>
      <c r="AJ34" s="4">
        <v>0.0</v>
      </c>
      <c r="AK34" s="4">
        <v>0.0</v>
      </c>
      <c r="AL34" s="4">
        <v>0.0</v>
      </c>
      <c r="AM34" s="4">
        <v>0.0</v>
      </c>
      <c r="AN34" s="4">
        <v>0.0</v>
      </c>
      <c r="AO34" s="4">
        <v>0.0</v>
      </c>
      <c r="AP34" s="4">
        <v>0.0</v>
      </c>
      <c r="AQ34" s="4">
        <v>0.0</v>
      </c>
      <c r="AR34" s="4">
        <v>0.0</v>
      </c>
      <c r="AS34" s="4">
        <v>0.0</v>
      </c>
      <c r="AT34" s="4">
        <v>1.0</v>
      </c>
      <c r="AU34" s="4">
        <v>0.0</v>
      </c>
      <c r="AV34" s="4">
        <v>0.0</v>
      </c>
      <c r="AW34" s="4">
        <v>0.0</v>
      </c>
      <c r="AX34" s="4">
        <v>0.0</v>
      </c>
      <c r="AY34" s="4">
        <v>0.0</v>
      </c>
      <c r="AZ34" s="4">
        <v>0.0</v>
      </c>
      <c r="BA34" s="4">
        <v>0.0</v>
      </c>
      <c r="BB34" s="4">
        <v>0.0</v>
      </c>
      <c r="BC34" s="4">
        <v>0.0</v>
      </c>
    </row>
    <row r="35">
      <c r="A35" s="4" t="s">
        <v>44</v>
      </c>
      <c r="B35" s="8">
        <f t="shared" si="2"/>
        <v>1</v>
      </c>
      <c r="C35" s="4">
        <v>0.0</v>
      </c>
      <c r="D35" s="4">
        <v>0.0</v>
      </c>
      <c r="E35" s="4">
        <v>0.0</v>
      </c>
      <c r="F35" s="4">
        <v>0.0</v>
      </c>
      <c r="G35" s="4">
        <v>0.0</v>
      </c>
      <c r="H35" s="4">
        <v>0.0</v>
      </c>
      <c r="I35" s="4">
        <v>0.0</v>
      </c>
      <c r="J35" s="4">
        <v>0.0</v>
      </c>
      <c r="K35" s="4">
        <v>0.0</v>
      </c>
      <c r="L35" s="4">
        <v>0.0</v>
      </c>
      <c r="M35" s="4">
        <v>0.0</v>
      </c>
      <c r="N35" s="4">
        <v>0.0</v>
      </c>
      <c r="O35" s="4">
        <v>0.0</v>
      </c>
      <c r="P35" s="4">
        <v>0.0</v>
      </c>
      <c r="Q35" s="4">
        <v>1.0</v>
      </c>
      <c r="R35" s="4">
        <v>0.0</v>
      </c>
      <c r="S35" s="4">
        <v>0.0</v>
      </c>
      <c r="T35" s="4">
        <v>0.0</v>
      </c>
      <c r="U35" s="4">
        <v>0.0</v>
      </c>
      <c r="V35" s="4">
        <v>0.0</v>
      </c>
      <c r="W35" s="4">
        <v>0.0</v>
      </c>
      <c r="X35" s="4">
        <v>0.0</v>
      </c>
      <c r="Y35" s="4">
        <v>0.0</v>
      </c>
      <c r="Z35" s="4">
        <v>0.0</v>
      </c>
      <c r="AA35" s="4">
        <v>0.0</v>
      </c>
      <c r="AB35" s="4">
        <v>0.0</v>
      </c>
      <c r="AC35" s="4">
        <v>0.0</v>
      </c>
      <c r="AD35" s="4">
        <v>0.0</v>
      </c>
      <c r="AE35" s="4">
        <v>0.0</v>
      </c>
      <c r="AF35" s="4">
        <v>0.0</v>
      </c>
      <c r="AG35" s="4">
        <v>0.0</v>
      </c>
      <c r="AH35" s="4">
        <v>0.0</v>
      </c>
      <c r="AI35" s="4">
        <v>0.0</v>
      </c>
      <c r="AJ35" s="4">
        <v>0.0</v>
      </c>
      <c r="AK35" s="4">
        <v>0.0</v>
      </c>
      <c r="AL35" s="4">
        <v>0.0</v>
      </c>
      <c r="AM35" s="4">
        <v>0.0</v>
      </c>
      <c r="AN35" s="4">
        <v>0.0</v>
      </c>
      <c r="AO35" s="4">
        <v>0.0</v>
      </c>
      <c r="AP35" s="4">
        <v>0.0</v>
      </c>
      <c r="AQ35" s="4">
        <v>0.0</v>
      </c>
      <c r="AR35" s="4">
        <v>0.0</v>
      </c>
      <c r="AS35" s="4">
        <v>0.0</v>
      </c>
      <c r="AT35" s="4">
        <v>0.0</v>
      </c>
      <c r="AU35" s="4">
        <v>0.0</v>
      </c>
      <c r="AV35" s="4">
        <v>0.0</v>
      </c>
      <c r="AW35" s="4">
        <v>0.0</v>
      </c>
      <c r="AX35" s="4">
        <v>0.0</v>
      </c>
      <c r="AY35" s="4">
        <v>0.0</v>
      </c>
      <c r="AZ35" s="4">
        <v>0.0</v>
      </c>
      <c r="BA35" s="4">
        <v>0.0</v>
      </c>
      <c r="BB35" s="4">
        <v>0.0</v>
      </c>
      <c r="BC35" s="4">
        <v>0.0</v>
      </c>
    </row>
    <row r="36">
      <c r="B36" s="8"/>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hidden="1" min="1" max="1" width="3.63"/>
    <col customWidth="1" min="2" max="2" width="23.0"/>
    <col customWidth="1" min="3" max="3" width="6.5"/>
    <col customWidth="1" min="4" max="4" width="5.88"/>
    <col customWidth="1" min="5" max="5" width="4.63"/>
    <col customWidth="1" min="6" max="6" width="5.5"/>
    <col customWidth="1" min="7" max="7" width="5.38"/>
    <col customWidth="1" min="8" max="8" width="5.5"/>
    <col customWidth="1" min="9" max="9" width="5.88"/>
    <col customWidth="1" min="10" max="10" width="6.25"/>
    <col customWidth="1" min="11" max="11" width="7.25"/>
    <col customWidth="1" min="12" max="12" width="6.63"/>
    <col customWidth="1" min="13" max="13" width="7.0"/>
    <col customWidth="1" min="14" max="14" width="6.63"/>
    <col customWidth="1" min="15" max="15" width="5.13"/>
    <col customWidth="1" min="16" max="16" width="6.38"/>
    <col customWidth="1" min="17" max="17" width="6.75"/>
    <col customWidth="1" min="18" max="18" width="6.0"/>
    <col customWidth="1" min="19" max="19" width="6.88"/>
    <col customWidth="1" min="20" max="20" width="7.75"/>
    <col customWidth="1" min="21" max="21" width="6.88"/>
    <col customWidth="1" min="22" max="22" width="6.0"/>
    <col customWidth="1" min="23" max="23" width="6.25"/>
    <col customWidth="1" min="24" max="24" width="5.38"/>
    <col customWidth="1" min="25" max="25" width="4.5"/>
    <col customWidth="1" min="26" max="26" width="7.25"/>
    <col customWidth="1" min="27" max="27" width="6.75"/>
    <col customWidth="1" min="28" max="28" width="4.63"/>
    <col customWidth="1" min="29" max="29" width="6.5"/>
    <col customWidth="1" min="30" max="31" width="7.13"/>
    <col customWidth="1" min="32" max="32" width="5.75"/>
    <col customWidth="1" min="33" max="33" width="6.25"/>
    <col customWidth="1" min="34" max="34" width="6.13"/>
    <col customWidth="1" min="35" max="35" width="4.88"/>
  </cols>
  <sheetData>
    <row r="1">
      <c r="A1" s="10"/>
      <c r="B1" s="10">
        <f>SUM(C6:AI1573)</f>
        <v>1438</v>
      </c>
      <c r="C1" s="4" t="s">
        <v>24</v>
      </c>
      <c r="D1" s="4" t="s">
        <v>19</v>
      </c>
      <c r="E1" s="4" t="s">
        <v>23</v>
      </c>
      <c r="F1" s="4" t="s">
        <v>18</v>
      </c>
      <c r="G1" s="4" t="s">
        <v>26</v>
      </c>
      <c r="H1" s="4" t="s">
        <v>32</v>
      </c>
      <c r="I1" s="4" t="s">
        <v>20</v>
      </c>
      <c r="J1" s="4" t="s">
        <v>31</v>
      </c>
      <c r="K1" s="4" t="s">
        <v>22</v>
      </c>
      <c r="L1" s="4" t="s">
        <v>28</v>
      </c>
      <c r="M1" s="4" t="s">
        <v>35</v>
      </c>
      <c r="N1" s="4" t="s">
        <v>21</v>
      </c>
      <c r="O1" s="4" t="s">
        <v>25</v>
      </c>
      <c r="P1" s="4" t="s">
        <v>36</v>
      </c>
      <c r="Q1" s="4" t="s">
        <v>34</v>
      </c>
      <c r="R1" s="4" t="s">
        <v>46</v>
      </c>
      <c r="S1" s="4" t="s">
        <v>1262</v>
      </c>
      <c r="T1" s="4" t="s">
        <v>39</v>
      </c>
      <c r="U1" s="4" t="s">
        <v>33</v>
      </c>
      <c r="V1" s="4" t="s">
        <v>30</v>
      </c>
      <c r="W1" s="4" t="s">
        <v>47</v>
      </c>
      <c r="X1" s="4" t="s">
        <v>43</v>
      </c>
      <c r="Y1" s="4" t="s">
        <v>42</v>
      </c>
      <c r="Z1" s="4" t="s">
        <v>29</v>
      </c>
      <c r="AA1" s="4" t="s">
        <v>38</v>
      </c>
      <c r="AB1" s="4" t="s">
        <v>50</v>
      </c>
      <c r="AC1" s="4" t="s">
        <v>44</v>
      </c>
      <c r="AD1" s="4" t="s">
        <v>48</v>
      </c>
      <c r="AE1" s="4" t="s">
        <v>45</v>
      </c>
      <c r="AF1" s="4" t="s">
        <v>40</v>
      </c>
      <c r="AG1" s="4" t="s">
        <v>41</v>
      </c>
      <c r="AH1" s="4" t="s">
        <v>49</v>
      </c>
      <c r="AI1" s="4" t="s">
        <v>37</v>
      </c>
    </row>
    <row r="2">
      <c r="A2" s="11"/>
      <c r="B2" s="11" t="s">
        <v>55</v>
      </c>
      <c r="C2" s="4">
        <v>62.0</v>
      </c>
      <c r="D2" s="4">
        <v>33.0</v>
      </c>
      <c r="E2" s="4">
        <v>48.0</v>
      </c>
      <c r="F2" s="4">
        <v>39.0</v>
      </c>
      <c r="G2" s="4">
        <v>56.0</v>
      </c>
      <c r="H2" s="4">
        <v>23.0</v>
      </c>
      <c r="I2" s="4">
        <v>58.0</v>
      </c>
      <c r="J2" s="4">
        <v>23.0</v>
      </c>
      <c r="K2" s="4">
        <v>20.0</v>
      </c>
      <c r="L2" s="4">
        <v>37.0</v>
      </c>
      <c r="M2" s="4">
        <v>38.0</v>
      </c>
      <c r="N2" s="4">
        <v>13.0</v>
      </c>
      <c r="O2" s="4">
        <v>39.0</v>
      </c>
      <c r="P2" s="4">
        <v>0.0</v>
      </c>
      <c r="Q2" s="4">
        <v>12.0</v>
      </c>
      <c r="R2" s="4">
        <v>15.0</v>
      </c>
      <c r="S2" s="4">
        <v>6.0</v>
      </c>
      <c r="T2" s="4">
        <v>13.0</v>
      </c>
      <c r="U2" s="4">
        <v>10.0</v>
      </c>
      <c r="V2" s="4">
        <v>4.0</v>
      </c>
      <c r="W2" s="4">
        <v>0.0</v>
      </c>
      <c r="X2" s="4">
        <v>9.0</v>
      </c>
      <c r="Y2" s="4">
        <v>6.0</v>
      </c>
      <c r="Z2" s="4">
        <v>8.0</v>
      </c>
      <c r="AA2" s="4">
        <v>14.0</v>
      </c>
      <c r="AB2" s="4">
        <v>6.0</v>
      </c>
      <c r="AC2" s="4">
        <v>0.0</v>
      </c>
      <c r="AD2" s="4">
        <v>6.0</v>
      </c>
      <c r="AE2" s="4">
        <v>7.0</v>
      </c>
      <c r="AF2" s="4">
        <v>7.0</v>
      </c>
      <c r="AG2" s="4">
        <v>6.0</v>
      </c>
      <c r="AH2" s="4">
        <v>4.0</v>
      </c>
      <c r="AI2" s="4">
        <v>7.0</v>
      </c>
    </row>
    <row r="3">
      <c r="A3" s="3"/>
      <c r="B3" s="3" t="s">
        <v>58</v>
      </c>
      <c r="C3" s="4">
        <v>90.0</v>
      </c>
      <c r="D3" s="4">
        <v>48.0</v>
      </c>
      <c r="E3" s="4">
        <v>79.0</v>
      </c>
      <c r="F3" s="4">
        <v>37.0</v>
      </c>
      <c r="G3" s="4">
        <v>55.0</v>
      </c>
      <c r="H3" s="4">
        <v>14.0</v>
      </c>
      <c r="I3" s="4">
        <v>53.0</v>
      </c>
      <c r="J3" s="4">
        <v>55.0</v>
      </c>
      <c r="K3" s="4">
        <v>23.0</v>
      </c>
      <c r="L3" s="4">
        <v>71.0</v>
      </c>
      <c r="M3" s="4">
        <v>35.0</v>
      </c>
      <c r="N3" s="4">
        <v>24.0</v>
      </c>
      <c r="O3" s="4">
        <v>59.0</v>
      </c>
      <c r="P3" s="4">
        <v>1.0</v>
      </c>
      <c r="Q3" s="4">
        <v>22.0</v>
      </c>
      <c r="R3" s="4">
        <v>27.0</v>
      </c>
      <c r="S3" s="4">
        <v>5.0</v>
      </c>
      <c r="T3" s="4">
        <v>10.0</v>
      </c>
      <c r="U3" s="4">
        <v>5.0</v>
      </c>
      <c r="V3" s="4">
        <v>41.0</v>
      </c>
      <c r="W3" s="4">
        <v>0.0</v>
      </c>
      <c r="X3" s="4">
        <v>13.0</v>
      </c>
      <c r="Y3" s="4">
        <v>3.0</v>
      </c>
      <c r="Z3" s="4">
        <v>9.0</v>
      </c>
      <c r="AA3" s="4">
        <v>7.0</v>
      </c>
      <c r="AB3" s="4">
        <v>2.0</v>
      </c>
      <c r="AC3" s="4">
        <v>0.0</v>
      </c>
      <c r="AD3" s="4">
        <v>4.0</v>
      </c>
      <c r="AE3" s="4">
        <v>5.0</v>
      </c>
      <c r="AF3" s="4">
        <v>8.0</v>
      </c>
      <c r="AG3" s="4">
        <v>4.0</v>
      </c>
      <c r="AH3" s="4">
        <v>3.0</v>
      </c>
      <c r="AI3" s="4">
        <v>7.0</v>
      </c>
    </row>
    <row r="4">
      <c r="A4" s="3"/>
      <c r="B4" s="3" t="s">
        <v>59</v>
      </c>
      <c r="C4" s="4">
        <v>21.0</v>
      </c>
      <c r="D4" s="4">
        <v>65.0</v>
      </c>
      <c r="E4" s="4">
        <v>16.0</v>
      </c>
      <c r="F4" s="4">
        <v>33.0</v>
      </c>
      <c r="G4" s="4">
        <v>37.0</v>
      </c>
      <c r="H4" s="4">
        <v>4.0</v>
      </c>
      <c r="I4" s="4">
        <v>29.0</v>
      </c>
      <c r="J4" s="4">
        <v>11.0</v>
      </c>
      <c r="K4" s="4">
        <v>23.0</v>
      </c>
      <c r="L4" s="4">
        <v>34.0</v>
      </c>
      <c r="M4" s="4">
        <v>8.0</v>
      </c>
      <c r="N4" s="4">
        <v>23.0</v>
      </c>
      <c r="O4" s="4">
        <v>6.0</v>
      </c>
      <c r="P4" s="4">
        <v>4.0</v>
      </c>
      <c r="Q4" s="4">
        <v>9.0</v>
      </c>
      <c r="R4" s="4">
        <v>10.0</v>
      </c>
      <c r="S4" s="4">
        <v>1.0</v>
      </c>
      <c r="T4" s="4">
        <v>4.0</v>
      </c>
      <c r="U4" s="4">
        <v>3.0</v>
      </c>
      <c r="V4" s="4">
        <v>20.0</v>
      </c>
      <c r="W4" s="4">
        <v>0.0</v>
      </c>
      <c r="X4" s="4">
        <v>4.0</v>
      </c>
      <c r="Y4" s="4">
        <v>3.0</v>
      </c>
      <c r="Z4" s="4">
        <v>1.0</v>
      </c>
      <c r="AA4" s="4">
        <v>2.0</v>
      </c>
      <c r="AB4" s="4">
        <v>1.0</v>
      </c>
      <c r="AC4" s="4">
        <v>1.0</v>
      </c>
      <c r="AD4" s="4">
        <v>1.0</v>
      </c>
      <c r="AE4" s="4">
        <v>1.0</v>
      </c>
      <c r="AF4" s="4">
        <v>2.0</v>
      </c>
      <c r="AG4" s="4">
        <v>0.0</v>
      </c>
      <c r="AH4" s="4">
        <v>1.0</v>
      </c>
      <c r="AI4" s="4">
        <v>2.0</v>
      </c>
    </row>
    <row r="5">
      <c r="A5" s="3"/>
      <c r="B5" s="3" t="s">
        <v>60</v>
      </c>
      <c r="C5" s="4">
        <f t="shared" ref="C5:J5" si="1">COUNT(C7:C4573)</f>
        <v>71</v>
      </c>
      <c r="D5" s="4">
        <f t="shared" si="1"/>
        <v>95</v>
      </c>
      <c r="E5" s="4">
        <f t="shared" si="1"/>
        <v>54</v>
      </c>
      <c r="F5" s="4">
        <f t="shared" si="1"/>
        <v>55</v>
      </c>
      <c r="G5" s="4">
        <f t="shared" si="1"/>
        <v>66</v>
      </c>
      <c r="H5" s="4">
        <f t="shared" si="1"/>
        <v>15</v>
      </c>
      <c r="I5" s="4">
        <f t="shared" si="1"/>
        <v>61</v>
      </c>
      <c r="J5" s="4">
        <f t="shared" si="1"/>
        <v>24</v>
      </c>
      <c r="K5" s="4">
        <f>COUNT(K6:K4573)</f>
        <v>47</v>
      </c>
      <c r="L5" s="4">
        <f t="shared" ref="L5:AI5" si="2">COUNT(L7:L4573)</f>
        <v>74</v>
      </c>
      <c r="M5" s="4">
        <f t="shared" si="2"/>
        <v>30</v>
      </c>
      <c r="N5" s="4">
        <f t="shared" si="2"/>
        <v>36</v>
      </c>
      <c r="O5" s="4">
        <f t="shared" si="2"/>
        <v>34</v>
      </c>
      <c r="P5" s="4">
        <f t="shared" si="2"/>
        <v>4</v>
      </c>
      <c r="Q5" s="4">
        <f t="shared" si="2"/>
        <v>18</v>
      </c>
      <c r="R5" s="4">
        <f t="shared" si="2"/>
        <v>23</v>
      </c>
      <c r="S5" s="4">
        <f t="shared" si="2"/>
        <v>5</v>
      </c>
      <c r="T5" s="4">
        <f t="shared" si="2"/>
        <v>12</v>
      </c>
      <c r="U5" s="4">
        <f t="shared" si="2"/>
        <v>7</v>
      </c>
      <c r="V5" s="4">
        <f t="shared" si="2"/>
        <v>31</v>
      </c>
      <c r="W5" s="4">
        <f t="shared" si="2"/>
        <v>1</v>
      </c>
      <c r="X5" s="4">
        <f t="shared" si="2"/>
        <v>10</v>
      </c>
      <c r="Y5" s="4">
        <f t="shared" si="2"/>
        <v>5</v>
      </c>
      <c r="Z5" s="4">
        <f t="shared" si="2"/>
        <v>9</v>
      </c>
      <c r="AA5" s="4">
        <f t="shared" si="2"/>
        <v>6</v>
      </c>
      <c r="AB5" s="4">
        <f t="shared" si="2"/>
        <v>2</v>
      </c>
      <c r="AC5" s="4">
        <f t="shared" si="2"/>
        <v>1</v>
      </c>
      <c r="AD5" s="4">
        <f t="shared" si="2"/>
        <v>3</v>
      </c>
      <c r="AE5" s="4">
        <f t="shared" si="2"/>
        <v>4</v>
      </c>
      <c r="AF5" s="4">
        <f t="shared" si="2"/>
        <v>10</v>
      </c>
      <c r="AG5" s="4">
        <f t="shared" si="2"/>
        <v>3</v>
      </c>
      <c r="AH5" s="4">
        <f t="shared" si="2"/>
        <v>3</v>
      </c>
      <c r="AI5" s="4">
        <f t="shared" si="2"/>
        <v>6</v>
      </c>
    </row>
    <row r="6">
      <c r="A6" s="4"/>
      <c r="B6" s="4" t="s">
        <v>892</v>
      </c>
      <c r="K6" s="4">
        <v>5.0</v>
      </c>
    </row>
    <row r="7">
      <c r="A7" s="4"/>
      <c r="B7" s="4" t="s">
        <v>256</v>
      </c>
    </row>
    <row r="8">
      <c r="A8" s="4"/>
      <c r="B8" s="4" t="s">
        <v>1263</v>
      </c>
    </row>
    <row r="9">
      <c r="A9" s="4"/>
      <c r="B9" s="4" t="s">
        <v>1264</v>
      </c>
    </row>
    <row r="10">
      <c r="A10" s="4"/>
      <c r="B10" s="4" t="s">
        <v>1265</v>
      </c>
    </row>
    <row r="11">
      <c r="A11" s="4"/>
      <c r="B11" s="4" t="s">
        <v>1266</v>
      </c>
    </row>
    <row r="12">
      <c r="A12" s="4"/>
      <c r="B12" s="4" t="s">
        <v>1267</v>
      </c>
    </row>
    <row r="13">
      <c r="A13" s="4"/>
      <c r="B13" s="4" t="s">
        <v>1268</v>
      </c>
      <c r="J13" s="4">
        <v>1.0</v>
      </c>
      <c r="R13" s="4">
        <v>2.0</v>
      </c>
    </row>
    <row r="14">
      <c r="A14" s="4"/>
      <c r="B14" s="4" t="s">
        <v>1269</v>
      </c>
      <c r="D14" s="4">
        <v>1.0</v>
      </c>
    </row>
    <row r="15">
      <c r="A15" s="4"/>
      <c r="B15" s="4" t="s">
        <v>418</v>
      </c>
    </row>
    <row r="16">
      <c r="A16" s="4"/>
      <c r="B16" s="4" t="s">
        <v>419</v>
      </c>
    </row>
    <row r="17">
      <c r="A17" s="4"/>
      <c r="B17" s="4" t="s">
        <v>420</v>
      </c>
    </row>
    <row r="18">
      <c r="A18" s="4"/>
      <c r="B18" s="4" t="s">
        <v>421</v>
      </c>
    </row>
    <row r="19">
      <c r="A19" s="4"/>
      <c r="B19" s="4" t="s">
        <v>422</v>
      </c>
    </row>
    <row r="20">
      <c r="A20" s="4"/>
      <c r="B20" s="4" t="s">
        <v>423</v>
      </c>
    </row>
    <row r="21">
      <c r="A21" s="4"/>
      <c r="B21" s="4" t="s">
        <v>580</v>
      </c>
    </row>
    <row r="22">
      <c r="A22" s="4"/>
      <c r="B22" s="4" t="s">
        <v>424</v>
      </c>
      <c r="Z22" s="4">
        <v>1.0</v>
      </c>
    </row>
    <row r="23">
      <c r="A23" s="4"/>
      <c r="B23" s="4" t="s">
        <v>425</v>
      </c>
    </row>
    <row r="24">
      <c r="A24" s="4"/>
      <c r="B24" s="4" t="s">
        <v>426</v>
      </c>
    </row>
    <row r="25">
      <c r="A25" s="4">
        <v>18.0</v>
      </c>
      <c r="B25" s="4" t="s">
        <v>862</v>
      </c>
      <c r="I25" s="4">
        <v>1.0</v>
      </c>
    </row>
    <row r="26">
      <c r="A26" s="4"/>
      <c r="B26" s="4" t="s">
        <v>863</v>
      </c>
    </row>
    <row r="27">
      <c r="A27" s="4"/>
      <c r="B27" s="4" t="s">
        <v>140</v>
      </c>
    </row>
    <row r="28">
      <c r="A28" s="4"/>
      <c r="B28" s="4" t="s">
        <v>141</v>
      </c>
    </row>
    <row r="29">
      <c r="A29" s="4"/>
      <c r="B29" s="4" t="s">
        <v>142</v>
      </c>
    </row>
    <row r="30">
      <c r="A30" s="4"/>
      <c r="B30" s="4" t="s">
        <v>143</v>
      </c>
    </row>
    <row r="31">
      <c r="A31" s="4"/>
      <c r="B31" s="4" t="s">
        <v>282</v>
      </c>
    </row>
    <row r="32">
      <c r="A32" s="4"/>
      <c r="B32" s="4" t="s">
        <v>240</v>
      </c>
    </row>
    <row r="33">
      <c r="A33" s="4"/>
      <c r="B33" s="4" t="s">
        <v>241</v>
      </c>
    </row>
    <row r="34">
      <c r="A34" s="4"/>
      <c r="B34" s="4" t="s">
        <v>283</v>
      </c>
    </row>
    <row r="35">
      <c r="A35" s="4"/>
      <c r="B35" s="4" t="s">
        <v>284</v>
      </c>
    </row>
    <row r="36">
      <c r="A36" s="4"/>
      <c r="B36" s="4" t="s">
        <v>285</v>
      </c>
    </row>
    <row r="37">
      <c r="A37" s="4"/>
      <c r="B37" s="4" t="s">
        <v>286</v>
      </c>
    </row>
    <row r="38">
      <c r="A38" s="4"/>
      <c r="B38" s="4" t="s">
        <v>287</v>
      </c>
    </row>
    <row r="39">
      <c r="A39" s="4"/>
      <c r="B39" s="4" t="s">
        <v>205</v>
      </c>
    </row>
    <row r="40">
      <c r="A40" s="4"/>
      <c r="B40" s="4" t="s">
        <v>206</v>
      </c>
    </row>
    <row r="41">
      <c r="A41" s="4"/>
      <c r="B41" s="4" t="s">
        <v>207</v>
      </c>
    </row>
    <row r="42">
      <c r="A42" s="4"/>
      <c r="B42" s="4" t="s">
        <v>208</v>
      </c>
    </row>
    <row r="43">
      <c r="A43" s="4"/>
      <c r="B43" s="4" t="s">
        <v>209</v>
      </c>
    </row>
    <row r="44">
      <c r="A44" s="4"/>
      <c r="B44" s="4" t="s">
        <v>210</v>
      </c>
      <c r="P44" s="4">
        <v>1.0</v>
      </c>
      <c r="T44" s="4">
        <v>1.0</v>
      </c>
    </row>
    <row r="45">
      <c r="A45" s="4"/>
      <c r="B45" s="4" t="s">
        <v>380</v>
      </c>
      <c r="C45" s="4">
        <v>3.0</v>
      </c>
      <c r="L45" s="4">
        <v>2.0</v>
      </c>
    </row>
    <row r="46">
      <c r="A46" s="4"/>
      <c r="B46" s="4" t="s">
        <v>581</v>
      </c>
    </row>
    <row r="47">
      <c r="A47" s="4"/>
      <c r="B47" s="4" t="s">
        <v>582</v>
      </c>
    </row>
    <row r="48">
      <c r="A48" s="4"/>
      <c r="B48" s="4" t="s">
        <v>336</v>
      </c>
      <c r="C48" s="4"/>
      <c r="F48" s="4">
        <v>3.0</v>
      </c>
      <c r="I48" s="4"/>
    </row>
    <row r="49">
      <c r="A49" s="4"/>
      <c r="B49" s="4" t="s">
        <v>337</v>
      </c>
      <c r="C49" s="4"/>
      <c r="F49" s="4">
        <v>2.0</v>
      </c>
      <c r="I49" s="4"/>
    </row>
    <row r="50">
      <c r="A50" s="4"/>
      <c r="B50" s="4" t="s">
        <v>335</v>
      </c>
      <c r="C50" s="4"/>
      <c r="F50" s="4">
        <v>1.0</v>
      </c>
      <c r="I50" s="4"/>
    </row>
    <row r="51">
      <c r="A51" s="4"/>
      <c r="B51" s="4" t="s">
        <v>145</v>
      </c>
      <c r="C51" s="4">
        <v>1.0</v>
      </c>
      <c r="F51" s="4"/>
      <c r="I51" s="4"/>
      <c r="L51" s="4">
        <v>1.0</v>
      </c>
    </row>
    <row r="52">
      <c r="A52" s="4"/>
      <c r="B52" s="4" t="s">
        <v>146</v>
      </c>
      <c r="C52" s="4">
        <v>1.0</v>
      </c>
      <c r="F52" s="4"/>
      <c r="I52" s="4"/>
      <c r="L52" s="4">
        <v>1.0</v>
      </c>
    </row>
    <row r="53">
      <c r="A53" s="4"/>
      <c r="B53" s="4" t="s">
        <v>427</v>
      </c>
      <c r="C53" s="4">
        <v>1.0</v>
      </c>
      <c r="D53" s="4">
        <v>1.0</v>
      </c>
      <c r="E53" s="4">
        <v>1.0</v>
      </c>
      <c r="F53" s="4">
        <v>2.0</v>
      </c>
      <c r="I53" s="4">
        <v>2.0</v>
      </c>
      <c r="L53" s="4">
        <v>1.0</v>
      </c>
      <c r="N53" s="4">
        <v>1.0</v>
      </c>
    </row>
    <row r="54">
      <c r="A54" s="4"/>
      <c r="B54" s="4" t="s">
        <v>252</v>
      </c>
    </row>
    <row r="55">
      <c r="A55" s="4"/>
      <c r="B55" s="4" t="s">
        <v>253</v>
      </c>
    </row>
    <row r="56">
      <c r="A56" s="4"/>
      <c r="B56" s="4" t="s">
        <v>254</v>
      </c>
    </row>
    <row r="57">
      <c r="A57" s="4"/>
      <c r="B57" s="4" t="s">
        <v>428</v>
      </c>
      <c r="V57" s="4">
        <v>1.0</v>
      </c>
    </row>
    <row r="58">
      <c r="A58" s="4"/>
      <c r="B58" s="4" t="s">
        <v>583</v>
      </c>
    </row>
    <row r="59">
      <c r="A59" s="4"/>
      <c r="B59" s="4" t="s">
        <v>584</v>
      </c>
    </row>
    <row r="60">
      <c r="A60" s="4"/>
      <c r="B60" s="4" t="s">
        <v>585</v>
      </c>
      <c r="D60" s="4">
        <v>1.0</v>
      </c>
    </row>
    <row r="61">
      <c r="A61" s="4"/>
      <c r="B61" s="4" t="s">
        <v>586</v>
      </c>
      <c r="D61" s="4"/>
      <c r="K61" s="4"/>
      <c r="L61" s="4">
        <v>1.0</v>
      </c>
    </row>
    <row r="62">
      <c r="A62" s="4"/>
      <c r="B62" s="4" t="s">
        <v>1008</v>
      </c>
      <c r="D62" s="4">
        <v>1.0</v>
      </c>
      <c r="K62" s="4">
        <v>1.0</v>
      </c>
    </row>
    <row r="63">
      <c r="A63" s="4"/>
      <c r="B63" s="4" t="s">
        <v>1006</v>
      </c>
      <c r="D63" s="4">
        <v>1.0</v>
      </c>
    </row>
    <row r="64">
      <c r="A64" s="4"/>
      <c r="B64" s="4" t="s">
        <v>1007</v>
      </c>
      <c r="D64" s="4">
        <v>1.0</v>
      </c>
    </row>
    <row r="65">
      <c r="A65" s="4"/>
      <c r="B65" s="4" t="s">
        <v>1009</v>
      </c>
      <c r="D65" s="4">
        <v>1.0</v>
      </c>
    </row>
    <row r="66">
      <c r="A66" s="4"/>
      <c r="B66" s="4" t="s">
        <v>1010</v>
      </c>
      <c r="D66" s="4">
        <v>1.0</v>
      </c>
    </row>
    <row r="67">
      <c r="A67" s="4"/>
      <c r="B67" s="4" t="s">
        <v>925</v>
      </c>
    </row>
    <row r="68">
      <c r="A68" s="4"/>
      <c r="B68" s="4" t="s">
        <v>429</v>
      </c>
    </row>
    <row r="69">
      <c r="A69" s="4"/>
      <c r="B69" s="4" t="s">
        <v>430</v>
      </c>
      <c r="J69" s="4">
        <v>1.0</v>
      </c>
      <c r="R69" s="4">
        <v>1.0</v>
      </c>
      <c r="S69" s="4">
        <v>1.0</v>
      </c>
    </row>
    <row r="70">
      <c r="A70" s="4"/>
      <c r="B70" s="4" t="s">
        <v>242</v>
      </c>
    </row>
    <row r="71">
      <c r="A71" s="4"/>
      <c r="B71" s="4" t="s">
        <v>243</v>
      </c>
    </row>
    <row r="72">
      <c r="A72" s="4"/>
      <c r="B72" s="4" t="s">
        <v>244</v>
      </c>
    </row>
    <row r="73">
      <c r="A73" s="4"/>
      <c r="B73" s="4" t="s">
        <v>245</v>
      </c>
    </row>
    <row r="74">
      <c r="A74" s="4"/>
      <c r="B74" s="4" t="s">
        <v>246</v>
      </c>
    </row>
    <row r="75">
      <c r="A75" s="4"/>
      <c r="B75" s="4" t="s">
        <v>247</v>
      </c>
    </row>
    <row r="76">
      <c r="A76" s="4"/>
      <c r="B76" s="4" t="s">
        <v>121</v>
      </c>
      <c r="N76" s="4">
        <v>1.0</v>
      </c>
    </row>
    <row r="77">
      <c r="A77" s="4"/>
      <c r="B77" s="4" t="s">
        <v>986</v>
      </c>
    </row>
    <row r="78">
      <c r="A78" s="4"/>
      <c r="B78" s="4" t="s">
        <v>707</v>
      </c>
    </row>
    <row r="79">
      <c r="A79" s="4"/>
      <c r="B79" s="4" t="s">
        <v>708</v>
      </c>
    </row>
    <row r="80">
      <c r="A80" s="4"/>
      <c r="B80" s="4" t="s">
        <v>101</v>
      </c>
    </row>
    <row r="81">
      <c r="A81" s="4"/>
      <c r="B81" s="4" t="s">
        <v>102</v>
      </c>
    </row>
    <row r="82">
      <c r="A82" s="4"/>
      <c r="B82" s="4" t="s">
        <v>103</v>
      </c>
    </row>
    <row r="83">
      <c r="A83" s="4"/>
      <c r="B83" s="4" t="s">
        <v>152</v>
      </c>
    </row>
    <row r="84">
      <c r="A84" s="4"/>
      <c r="B84" s="4" t="s">
        <v>249</v>
      </c>
    </row>
    <row r="85">
      <c r="A85" s="4"/>
      <c r="B85" s="4" t="s">
        <v>250</v>
      </c>
    </row>
    <row r="86">
      <c r="A86" s="4"/>
      <c r="B86" s="4" t="s">
        <v>432</v>
      </c>
    </row>
    <row r="87">
      <c r="A87" s="4"/>
      <c r="B87" s="4" t="s">
        <v>434</v>
      </c>
      <c r="N87" s="4">
        <v>1.0</v>
      </c>
    </row>
    <row r="88">
      <c r="A88" s="4"/>
      <c r="B88" s="4" t="s">
        <v>435</v>
      </c>
    </row>
    <row r="89">
      <c r="A89" s="4"/>
      <c r="B89" s="4" t="s">
        <v>436</v>
      </c>
      <c r="L89" s="4">
        <v>1.0</v>
      </c>
      <c r="M89" s="4">
        <v>1.0</v>
      </c>
      <c r="N89" s="4"/>
    </row>
    <row r="90">
      <c r="A90" s="4"/>
      <c r="B90" s="4" t="s">
        <v>433</v>
      </c>
      <c r="N90" s="4">
        <v>2.0</v>
      </c>
    </row>
    <row r="91">
      <c r="A91" s="4"/>
      <c r="B91" s="4" t="s">
        <v>438</v>
      </c>
    </row>
    <row r="92">
      <c r="A92" s="4"/>
      <c r="B92" s="4" t="s">
        <v>439</v>
      </c>
    </row>
    <row r="93">
      <c r="A93" s="4"/>
      <c r="B93" s="4" t="s">
        <v>437</v>
      </c>
      <c r="N93" s="4">
        <v>1.0</v>
      </c>
    </row>
    <row r="94">
      <c r="A94" s="4"/>
      <c r="B94" s="4" t="s">
        <v>93</v>
      </c>
    </row>
    <row r="95">
      <c r="A95" s="4"/>
      <c r="B95" s="4" t="s">
        <v>587</v>
      </c>
    </row>
    <row r="96">
      <c r="A96" s="4"/>
      <c r="B96" s="4" t="s">
        <v>96</v>
      </c>
    </row>
    <row r="97">
      <c r="A97" s="4"/>
      <c r="B97" s="4" t="s">
        <v>588</v>
      </c>
      <c r="E97" s="4"/>
      <c r="H97" s="4"/>
      <c r="O97" s="4"/>
      <c r="R97" s="4">
        <v>1.0</v>
      </c>
      <c r="AD97" s="4"/>
      <c r="AE97" s="4"/>
      <c r="AF97" s="4"/>
      <c r="AG97" s="4"/>
      <c r="AI97" s="4"/>
    </row>
    <row r="98">
      <c r="A98" s="4"/>
      <c r="B98" s="4" t="s">
        <v>440</v>
      </c>
      <c r="E98" s="4">
        <v>3.0</v>
      </c>
      <c r="H98" s="4">
        <v>2.0</v>
      </c>
      <c r="O98" s="4">
        <v>1.0</v>
      </c>
      <c r="AD98" s="4">
        <v>1.0</v>
      </c>
      <c r="AE98" s="4">
        <v>1.0</v>
      </c>
      <c r="AF98" s="4">
        <v>1.0</v>
      </c>
      <c r="AG98" s="4">
        <v>2.0</v>
      </c>
      <c r="AI98" s="4">
        <v>2.0</v>
      </c>
    </row>
    <row r="99">
      <c r="A99" s="4"/>
      <c r="B99" s="4" t="s">
        <v>442</v>
      </c>
      <c r="C99" s="4">
        <v>2.0</v>
      </c>
      <c r="G99" s="4">
        <v>2.0</v>
      </c>
      <c r="H99" s="4">
        <v>2.0</v>
      </c>
      <c r="I99" s="4">
        <v>3.0</v>
      </c>
      <c r="K99" s="4">
        <v>1.0</v>
      </c>
      <c r="L99" s="4">
        <v>2.0</v>
      </c>
      <c r="M99" s="4">
        <v>1.0</v>
      </c>
      <c r="O99" s="4">
        <v>3.0</v>
      </c>
      <c r="U99" s="4">
        <v>1.0</v>
      </c>
      <c r="AE99" s="4">
        <v>1.0</v>
      </c>
      <c r="AF99" s="4">
        <v>1.0</v>
      </c>
      <c r="AI99" s="4">
        <v>1.0</v>
      </c>
    </row>
    <row r="100">
      <c r="A100" s="4"/>
      <c r="B100" s="4" t="s">
        <v>441</v>
      </c>
      <c r="D100" s="4">
        <v>1.0</v>
      </c>
      <c r="G100" s="4">
        <v>1.0</v>
      </c>
      <c r="M100" s="4">
        <v>1.0</v>
      </c>
    </row>
    <row r="101">
      <c r="A101" s="4"/>
      <c r="B101" s="4" t="s">
        <v>443</v>
      </c>
    </row>
    <row r="102">
      <c r="A102" s="4"/>
      <c r="B102" s="4" t="s">
        <v>444</v>
      </c>
      <c r="D102" s="4"/>
      <c r="E102" s="4"/>
      <c r="F102" s="4"/>
      <c r="G102" s="4"/>
      <c r="H102" s="4"/>
      <c r="I102" s="4"/>
      <c r="K102" s="4"/>
      <c r="M102" s="4"/>
      <c r="O102" s="4">
        <v>1.0</v>
      </c>
      <c r="U102" s="4"/>
      <c r="Y102" s="4"/>
      <c r="Z102" s="4"/>
      <c r="AA102" s="4"/>
    </row>
    <row r="103">
      <c r="A103" s="4">
        <v>30.0</v>
      </c>
      <c r="B103" s="4" t="s">
        <v>589</v>
      </c>
      <c r="D103" s="4">
        <v>4.0</v>
      </c>
      <c r="E103" s="4">
        <v>1.0</v>
      </c>
      <c r="F103" s="4">
        <v>29.0</v>
      </c>
      <c r="G103" s="4">
        <v>2.0</v>
      </c>
      <c r="H103" s="4">
        <v>2.0</v>
      </c>
      <c r="I103" s="4">
        <v>3.0</v>
      </c>
      <c r="K103" s="4">
        <v>1.0</v>
      </c>
      <c r="M103" s="4">
        <v>3.0</v>
      </c>
      <c r="O103" s="4">
        <v>1.0</v>
      </c>
      <c r="U103" s="4">
        <v>2.0</v>
      </c>
      <c r="Y103" s="4">
        <v>1.0</v>
      </c>
      <c r="Z103" s="4">
        <v>2.0</v>
      </c>
      <c r="AA103" s="4">
        <v>4.0</v>
      </c>
    </row>
    <row r="104">
      <c r="A104" s="4"/>
      <c r="B104" s="4" t="s">
        <v>590</v>
      </c>
      <c r="D104" s="4"/>
      <c r="L104" s="4">
        <v>1.0</v>
      </c>
    </row>
    <row r="105">
      <c r="A105" s="4"/>
      <c r="B105" s="4" t="s">
        <v>275</v>
      </c>
      <c r="D105" s="4">
        <v>1.0</v>
      </c>
    </row>
    <row r="106">
      <c r="A106" s="4"/>
      <c r="B106" s="4" t="s">
        <v>1270</v>
      </c>
    </row>
    <row r="107">
      <c r="A107" s="4"/>
      <c r="B107" s="4" t="s">
        <v>1271</v>
      </c>
    </row>
    <row r="108">
      <c r="A108" s="4"/>
      <c r="B108" s="4" t="s">
        <v>1272</v>
      </c>
      <c r="D108" s="4">
        <v>1.0</v>
      </c>
    </row>
    <row r="109">
      <c r="A109" s="4"/>
      <c r="B109" s="4" t="s">
        <v>445</v>
      </c>
    </row>
    <row r="110">
      <c r="A110" s="4"/>
      <c r="B110" s="4" t="s">
        <v>591</v>
      </c>
    </row>
    <row r="111">
      <c r="A111" s="4"/>
      <c r="B111" s="4" t="s">
        <v>592</v>
      </c>
    </row>
    <row r="112">
      <c r="A112" s="4"/>
      <c r="B112" s="4" t="s">
        <v>188</v>
      </c>
    </row>
    <row r="113">
      <c r="A113" s="4"/>
      <c r="B113" s="4" t="s">
        <v>730</v>
      </c>
      <c r="D113" s="4">
        <v>1.0</v>
      </c>
      <c r="I113" s="4"/>
    </row>
    <row r="114">
      <c r="A114" s="4"/>
      <c r="B114" s="4" t="s">
        <v>729</v>
      </c>
      <c r="D114" s="4">
        <v>1.0</v>
      </c>
      <c r="I114" s="4"/>
    </row>
    <row r="115">
      <c r="A115" s="4"/>
      <c r="B115" s="4" t="s">
        <v>733</v>
      </c>
      <c r="D115" s="4">
        <v>1.0</v>
      </c>
      <c r="I115" s="4"/>
    </row>
    <row r="116">
      <c r="A116" s="4"/>
      <c r="B116" s="4" t="s">
        <v>732</v>
      </c>
      <c r="D116" s="4">
        <v>1.0</v>
      </c>
      <c r="I116" s="4"/>
    </row>
    <row r="117">
      <c r="A117" s="4"/>
      <c r="B117" s="4" t="s">
        <v>731</v>
      </c>
      <c r="D117" s="4">
        <v>1.0</v>
      </c>
      <c r="I117" s="4"/>
    </row>
    <row r="118">
      <c r="A118" s="4"/>
      <c r="B118" s="4" t="s">
        <v>734</v>
      </c>
      <c r="I118" s="4">
        <v>1.0</v>
      </c>
    </row>
    <row r="119">
      <c r="A119" s="4"/>
      <c r="B119" s="4" t="s">
        <v>263</v>
      </c>
    </row>
    <row r="120">
      <c r="A120" s="4"/>
      <c r="B120" s="4" t="s">
        <v>264</v>
      </c>
    </row>
    <row r="121">
      <c r="A121" s="4"/>
      <c r="B121" s="4" t="s">
        <v>265</v>
      </c>
    </row>
    <row r="122">
      <c r="A122" s="4"/>
      <c r="B122" s="4" t="s">
        <v>266</v>
      </c>
    </row>
    <row r="123">
      <c r="A123" s="4"/>
      <c r="B123" s="4" t="s">
        <v>593</v>
      </c>
    </row>
    <row r="124">
      <c r="A124" s="4"/>
      <c r="B124" s="4" t="s">
        <v>270</v>
      </c>
    </row>
    <row r="125">
      <c r="A125" s="4"/>
      <c r="B125" s="4" t="s">
        <v>271</v>
      </c>
    </row>
    <row r="126">
      <c r="A126" s="4"/>
      <c r="B126" s="4" t="s">
        <v>272</v>
      </c>
    </row>
    <row r="127">
      <c r="A127" s="4"/>
      <c r="B127" s="4" t="s">
        <v>276</v>
      </c>
      <c r="D127" s="4">
        <v>1.0</v>
      </c>
    </row>
    <row r="128">
      <c r="A128" s="4"/>
      <c r="B128" s="4" t="s">
        <v>277</v>
      </c>
      <c r="D128" s="4">
        <v>1.0</v>
      </c>
    </row>
    <row r="129">
      <c r="A129" s="4"/>
      <c r="B129" s="4" t="s">
        <v>278</v>
      </c>
      <c r="D129" s="4">
        <v>2.0</v>
      </c>
    </row>
    <row r="130">
      <c r="A130" s="4"/>
      <c r="B130" s="4" t="s">
        <v>273</v>
      </c>
      <c r="D130" s="4">
        <v>1.0</v>
      </c>
    </row>
    <row r="131">
      <c r="A131" s="4"/>
      <c r="B131" s="4" t="s">
        <v>280</v>
      </c>
    </row>
    <row r="132">
      <c r="A132" s="4"/>
      <c r="B132" s="4" t="s">
        <v>446</v>
      </c>
      <c r="C132" s="4">
        <v>1.0</v>
      </c>
      <c r="E132" s="4">
        <v>4.0</v>
      </c>
      <c r="G132" s="4">
        <v>1.0</v>
      </c>
      <c r="J132" s="4">
        <v>3.0</v>
      </c>
      <c r="O132" s="4">
        <v>2.0</v>
      </c>
      <c r="Q132" s="4">
        <v>1.0</v>
      </c>
      <c r="R132" s="4">
        <v>3.0</v>
      </c>
      <c r="S132" s="4">
        <v>1.0</v>
      </c>
      <c r="X132" s="4">
        <v>1.0</v>
      </c>
    </row>
    <row r="133">
      <c r="A133" s="4"/>
      <c r="B133" s="4" t="s">
        <v>447</v>
      </c>
      <c r="C133" s="4">
        <v>1.0</v>
      </c>
      <c r="H133" s="4">
        <v>1.0</v>
      </c>
      <c r="J133" s="4">
        <v>1.0</v>
      </c>
      <c r="M133" s="4">
        <v>1.0</v>
      </c>
      <c r="Q133" s="4">
        <v>1.0</v>
      </c>
      <c r="R133" s="4">
        <v>1.0</v>
      </c>
      <c r="Z133" s="4">
        <v>2.0</v>
      </c>
      <c r="AA133" s="4">
        <v>1.0</v>
      </c>
      <c r="AG133" s="4">
        <v>1.0</v>
      </c>
      <c r="AI133" s="4">
        <v>1.0</v>
      </c>
    </row>
    <row r="134">
      <c r="A134" s="4"/>
      <c r="B134" s="4" t="s">
        <v>448</v>
      </c>
      <c r="C134" s="4">
        <v>1.0</v>
      </c>
      <c r="M134" s="4"/>
    </row>
    <row r="135">
      <c r="A135" s="4"/>
      <c r="B135" s="4" t="s">
        <v>594</v>
      </c>
      <c r="C135" s="4">
        <v>1.0</v>
      </c>
      <c r="E135" s="4">
        <v>1.0</v>
      </c>
      <c r="F135" s="4">
        <v>1.0</v>
      </c>
      <c r="G135" s="4">
        <v>1.0</v>
      </c>
      <c r="H135" s="4">
        <v>1.0</v>
      </c>
      <c r="I135" s="4">
        <v>1.0</v>
      </c>
      <c r="L135" s="4">
        <v>1.0</v>
      </c>
      <c r="M135" s="4">
        <v>1.0</v>
      </c>
      <c r="O135" s="4">
        <v>1.0</v>
      </c>
      <c r="V135" s="4">
        <v>1.0</v>
      </c>
      <c r="Y135" s="4">
        <v>1.0</v>
      </c>
      <c r="AB135" s="4">
        <v>1.0</v>
      </c>
    </row>
    <row r="136">
      <c r="A136" s="4"/>
      <c r="B136" s="4" t="s">
        <v>449</v>
      </c>
      <c r="C136" s="4">
        <v>1.0</v>
      </c>
      <c r="M136" s="4">
        <v>12.0</v>
      </c>
    </row>
    <row r="137">
      <c r="A137" s="4"/>
      <c r="B137" s="4" t="s">
        <v>595</v>
      </c>
    </row>
    <row r="138">
      <c r="A138" s="4"/>
      <c r="B138" s="4" t="s">
        <v>836</v>
      </c>
    </row>
    <row r="139">
      <c r="A139" s="4"/>
      <c r="B139" s="4" t="s">
        <v>837</v>
      </c>
      <c r="E139" s="4">
        <v>1.0</v>
      </c>
    </row>
    <row r="140">
      <c r="A140" s="4"/>
      <c r="B140" s="4" t="s">
        <v>450</v>
      </c>
      <c r="C140" s="4">
        <v>1.0</v>
      </c>
      <c r="D140" s="4">
        <v>1.0</v>
      </c>
      <c r="E140" s="4">
        <v>2.0</v>
      </c>
      <c r="F140" s="4">
        <v>1.0</v>
      </c>
      <c r="G140" s="4">
        <v>2.0</v>
      </c>
      <c r="I140" s="4">
        <v>2.0</v>
      </c>
      <c r="M140" s="4">
        <v>1.0</v>
      </c>
    </row>
    <row r="141">
      <c r="A141" s="4"/>
      <c r="B141" s="4" t="s">
        <v>451</v>
      </c>
    </row>
    <row r="142">
      <c r="A142" s="4"/>
      <c r="B142" s="4" t="s">
        <v>411</v>
      </c>
    </row>
    <row r="143">
      <c r="A143" s="4"/>
      <c r="B143" s="4" t="s">
        <v>98</v>
      </c>
      <c r="J143" s="4">
        <v>1.0</v>
      </c>
    </row>
    <row r="144">
      <c r="A144" s="4"/>
      <c r="B144" s="4" t="s">
        <v>116</v>
      </c>
      <c r="F144" s="4">
        <v>1.0</v>
      </c>
    </row>
    <row r="145">
      <c r="A145" s="4"/>
      <c r="B145" s="4" t="s">
        <v>109</v>
      </c>
    </row>
    <row r="146">
      <c r="A146" s="4"/>
      <c r="B146" s="4" t="s">
        <v>110</v>
      </c>
    </row>
    <row r="147">
      <c r="A147" s="4"/>
      <c r="B147" s="4" t="s">
        <v>111</v>
      </c>
      <c r="D147" s="4">
        <v>2.0</v>
      </c>
    </row>
    <row r="148">
      <c r="A148" s="4"/>
      <c r="B148" s="4" t="s">
        <v>112</v>
      </c>
    </row>
    <row r="149">
      <c r="A149" s="4"/>
      <c r="B149" s="4" t="s">
        <v>113</v>
      </c>
      <c r="D149" s="4">
        <v>1.0</v>
      </c>
      <c r="J149" s="4"/>
    </row>
    <row r="150">
      <c r="A150" s="4"/>
      <c r="B150" s="4" t="s">
        <v>114</v>
      </c>
      <c r="D150" s="4">
        <v>1.0</v>
      </c>
      <c r="J150" s="4"/>
    </row>
    <row r="151">
      <c r="A151" s="4"/>
      <c r="B151" s="4" t="s">
        <v>452</v>
      </c>
    </row>
    <row r="152">
      <c r="A152" s="4"/>
      <c r="B152" s="4" t="s">
        <v>118</v>
      </c>
    </row>
    <row r="153">
      <c r="A153" s="4"/>
      <c r="B153" s="4" t="s">
        <v>123</v>
      </c>
    </row>
    <row r="154">
      <c r="A154" s="4"/>
      <c r="B154" s="4" t="s">
        <v>124</v>
      </c>
    </row>
    <row r="155">
      <c r="A155" s="4"/>
      <c r="B155" s="4" t="s">
        <v>122</v>
      </c>
      <c r="H155" s="4">
        <v>2.0</v>
      </c>
    </row>
    <row r="156">
      <c r="A156" s="4"/>
      <c r="B156" s="4" t="s">
        <v>596</v>
      </c>
    </row>
    <row r="157">
      <c r="A157" s="4"/>
      <c r="B157" s="4" t="s">
        <v>597</v>
      </c>
      <c r="E157" s="4">
        <v>1.0</v>
      </c>
    </row>
    <row r="158">
      <c r="A158" s="4"/>
      <c r="B158" s="4" t="s">
        <v>598</v>
      </c>
      <c r="C158" s="4">
        <v>2.0</v>
      </c>
      <c r="D158" s="4">
        <v>2.0</v>
      </c>
      <c r="E158" s="4">
        <v>79.0</v>
      </c>
      <c r="G158" s="4">
        <v>2.0</v>
      </c>
      <c r="I158" s="4">
        <v>2.0</v>
      </c>
      <c r="K158" s="4">
        <v>1.0</v>
      </c>
      <c r="L158" s="4">
        <v>2.0</v>
      </c>
      <c r="M158" s="4">
        <v>1.0</v>
      </c>
      <c r="Q158" s="4">
        <v>13.0</v>
      </c>
      <c r="T158" s="4">
        <v>1.0</v>
      </c>
      <c r="V158" s="4">
        <v>3.0</v>
      </c>
    </row>
    <row r="159">
      <c r="A159" s="4"/>
      <c r="B159" s="4" t="s">
        <v>600</v>
      </c>
    </row>
    <row r="160">
      <c r="A160" s="4"/>
      <c r="B160" s="4" t="s">
        <v>601</v>
      </c>
    </row>
    <row r="161">
      <c r="A161" s="4"/>
      <c r="B161" s="4" t="s">
        <v>989</v>
      </c>
      <c r="D161" s="4">
        <v>1.0</v>
      </c>
      <c r="G161" s="4">
        <v>1.0</v>
      </c>
    </row>
    <row r="162">
      <c r="A162" s="4"/>
      <c r="B162" s="4" t="s">
        <v>1273</v>
      </c>
    </row>
    <row r="163">
      <c r="A163" s="4"/>
      <c r="B163" s="4" t="s">
        <v>1274</v>
      </c>
    </row>
    <row r="164">
      <c r="A164" s="4"/>
      <c r="B164" s="4" t="s">
        <v>1275</v>
      </c>
      <c r="G164" s="4">
        <v>1.0</v>
      </c>
      <c r="W164" s="4">
        <v>1.0</v>
      </c>
    </row>
    <row r="165">
      <c r="A165" s="4"/>
      <c r="B165" s="4" t="s">
        <v>602</v>
      </c>
      <c r="C165" s="4">
        <v>1.0</v>
      </c>
      <c r="L165" s="4">
        <v>1.0</v>
      </c>
    </row>
    <row r="166">
      <c r="A166" s="4"/>
      <c r="B166" s="4" t="s">
        <v>801</v>
      </c>
    </row>
    <row r="167">
      <c r="A167" s="4"/>
      <c r="B167" s="4" t="s">
        <v>802</v>
      </c>
    </row>
    <row r="168">
      <c r="A168" s="4"/>
      <c r="B168" s="4" t="s">
        <v>804</v>
      </c>
      <c r="D168" s="4">
        <v>1.0</v>
      </c>
    </row>
    <row r="169">
      <c r="A169" s="4"/>
      <c r="B169" s="4" t="s">
        <v>805</v>
      </c>
    </row>
    <row r="170">
      <c r="A170" s="4"/>
      <c r="B170" s="4" t="s">
        <v>806</v>
      </c>
    </row>
    <row r="171">
      <c r="A171" s="4"/>
      <c r="B171" s="4" t="s">
        <v>807</v>
      </c>
    </row>
    <row r="172">
      <c r="A172" s="4"/>
      <c r="B172" s="4" t="s">
        <v>808</v>
      </c>
      <c r="C172" s="4">
        <v>1.0</v>
      </c>
      <c r="D172" s="4">
        <v>1.0</v>
      </c>
      <c r="K172" s="4">
        <v>1.0</v>
      </c>
    </row>
    <row r="173">
      <c r="A173" s="4"/>
      <c r="B173" s="4" t="s">
        <v>809</v>
      </c>
    </row>
    <row r="174">
      <c r="A174" s="4"/>
      <c r="B174" s="4" t="s">
        <v>811</v>
      </c>
    </row>
    <row r="175">
      <c r="A175" s="4"/>
      <c r="B175" s="4" t="s">
        <v>812</v>
      </c>
      <c r="D175" s="4">
        <v>1.0</v>
      </c>
    </row>
    <row r="176">
      <c r="A176" s="4"/>
      <c r="B176" s="4" t="s">
        <v>813</v>
      </c>
    </row>
    <row r="177">
      <c r="A177" s="4"/>
      <c r="B177" s="4" t="s">
        <v>814</v>
      </c>
    </row>
    <row r="178">
      <c r="A178" s="4"/>
      <c r="B178" s="4" t="s">
        <v>331</v>
      </c>
      <c r="D178" s="4">
        <v>1.0</v>
      </c>
      <c r="K178" s="4">
        <v>1.0</v>
      </c>
    </row>
    <row r="179">
      <c r="A179" s="4"/>
      <c r="B179" s="4" t="s">
        <v>74</v>
      </c>
    </row>
    <row r="180">
      <c r="A180" s="4"/>
      <c r="B180" s="4" t="s">
        <v>75</v>
      </c>
    </row>
    <row r="181">
      <c r="A181" s="4"/>
      <c r="B181" s="4" t="s">
        <v>76</v>
      </c>
    </row>
    <row r="182">
      <c r="A182" s="4"/>
      <c r="B182" s="4" t="s">
        <v>77</v>
      </c>
    </row>
    <row r="183">
      <c r="A183" s="4"/>
      <c r="B183" s="4" t="s">
        <v>822</v>
      </c>
    </row>
    <row r="184">
      <c r="A184" s="4"/>
      <c r="B184" s="4" t="s">
        <v>823</v>
      </c>
    </row>
    <row r="185">
      <c r="A185" s="4"/>
      <c r="B185" s="4" t="s">
        <v>453</v>
      </c>
      <c r="E185" s="4">
        <v>1.0</v>
      </c>
      <c r="Z185" s="4">
        <v>1.0</v>
      </c>
    </row>
    <row r="186">
      <c r="A186" s="4"/>
      <c r="B186" s="4" t="s">
        <v>454</v>
      </c>
    </row>
    <row r="187">
      <c r="A187" s="4"/>
      <c r="B187" s="4" t="s">
        <v>741</v>
      </c>
    </row>
    <row r="188">
      <c r="A188" s="4"/>
      <c r="B188" s="4" t="s">
        <v>603</v>
      </c>
    </row>
    <row r="189">
      <c r="A189" s="4"/>
      <c r="B189" s="4" t="s">
        <v>604</v>
      </c>
    </row>
    <row r="190">
      <c r="A190" s="4"/>
      <c r="B190" s="4" t="s">
        <v>606</v>
      </c>
      <c r="L190" s="4">
        <v>1.0</v>
      </c>
    </row>
    <row r="191">
      <c r="A191" s="4"/>
      <c r="B191" s="4" t="s">
        <v>607</v>
      </c>
    </row>
    <row r="192">
      <c r="A192" s="4"/>
      <c r="B192" s="4" t="s">
        <v>309</v>
      </c>
      <c r="C192" s="4">
        <v>1.0</v>
      </c>
      <c r="F192" s="4">
        <v>1.0</v>
      </c>
      <c r="G192" s="4">
        <v>1.0</v>
      </c>
      <c r="I192" s="4">
        <v>1.0</v>
      </c>
      <c r="L192" s="4">
        <v>1.0</v>
      </c>
      <c r="O192" s="4">
        <v>1.0</v>
      </c>
      <c r="T192" s="4">
        <v>1.0</v>
      </c>
    </row>
    <row r="193">
      <c r="A193" s="4"/>
      <c r="B193" s="4" t="s">
        <v>310</v>
      </c>
    </row>
    <row r="194">
      <c r="A194" s="4"/>
      <c r="B194" s="4" t="s">
        <v>608</v>
      </c>
    </row>
    <row r="195">
      <c r="A195" s="4"/>
      <c r="B195" s="4" t="s">
        <v>609</v>
      </c>
    </row>
    <row r="196">
      <c r="A196" s="4"/>
      <c r="B196" s="4" t="s">
        <v>291</v>
      </c>
      <c r="C196" s="4">
        <v>1.0</v>
      </c>
    </row>
    <row r="197">
      <c r="A197" s="4"/>
      <c r="B197" s="4" t="s">
        <v>883</v>
      </c>
    </row>
    <row r="198">
      <c r="A198" s="4"/>
      <c r="B198" s="4" t="s">
        <v>884</v>
      </c>
    </row>
    <row r="199">
      <c r="A199" s="4"/>
      <c r="B199" s="4" t="s">
        <v>455</v>
      </c>
      <c r="I199" s="4">
        <v>1.0</v>
      </c>
    </row>
    <row r="200">
      <c r="A200" s="4"/>
      <c r="B200" s="4" t="s">
        <v>456</v>
      </c>
    </row>
    <row r="201">
      <c r="A201" s="4"/>
      <c r="B201" s="4" t="s">
        <v>1023</v>
      </c>
      <c r="F201" s="4">
        <v>1.0</v>
      </c>
    </row>
    <row r="202">
      <c r="A202" s="4"/>
      <c r="B202" s="4" t="s">
        <v>293</v>
      </c>
    </row>
    <row r="203">
      <c r="A203" s="4"/>
      <c r="B203" s="4" t="s">
        <v>294</v>
      </c>
    </row>
    <row r="204">
      <c r="A204" s="4"/>
      <c r="B204" s="4" t="s">
        <v>295</v>
      </c>
    </row>
    <row r="205">
      <c r="A205" s="4"/>
      <c r="B205" s="4" t="s">
        <v>296</v>
      </c>
      <c r="D205" s="4">
        <v>1.0</v>
      </c>
    </row>
    <row r="206">
      <c r="A206" s="4"/>
      <c r="B206" s="4" t="s">
        <v>297</v>
      </c>
    </row>
    <row r="207">
      <c r="A207" s="4"/>
      <c r="B207" s="4" t="s">
        <v>298</v>
      </c>
    </row>
    <row r="208">
      <c r="A208" s="4"/>
      <c r="B208" s="4" t="s">
        <v>299</v>
      </c>
      <c r="D208" s="4">
        <v>1.0</v>
      </c>
    </row>
    <row r="209">
      <c r="A209" s="4"/>
      <c r="B209" s="4" t="s">
        <v>300</v>
      </c>
    </row>
    <row r="210">
      <c r="A210" s="4"/>
      <c r="B210" s="4" t="s">
        <v>301</v>
      </c>
    </row>
    <row r="211">
      <c r="A211" s="4"/>
      <c r="B211" s="4" t="s">
        <v>127</v>
      </c>
      <c r="E211" s="4">
        <v>1.0</v>
      </c>
    </row>
    <row r="212">
      <c r="A212" s="4"/>
      <c r="B212" s="4" t="s">
        <v>129</v>
      </c>
    </row>
    <row r="213">
      <c r="A213" s="4"/>
      <c r="B213" s="4" t="s">
        <v>131</v>
      </c>
    </row>
    <row r="214">
      <c r="A214" s="4"/>
      <c r="B214" s="4" t="s">
        <v>133</v>
      </c>
    </row>
    <row r="215">
      <c r="A215" s="4"/>
      <c r="B215" s="4" t="s">
        <v>134</v>
      </c>
    </row>
    <row r="216">
      <c r="A216" s="4"/>
      <c r="B216" s="4" t="s">
        <v>132</v>
      </c>
      <c r="P216" s="4">
        <v>1.0</v>
      </c>
    </row>
    <row r="217">
      <c r="A217" s="4"/>
      <c r="B217" s="4" t="s">
        <v>135</v>
      </c>
    </row>
    <row r="218">
      <c r="A218" s="4"/>
      <c r="B218" s="4" t="s">
        <v>799</v>
      </c>
    </row>
    <row r="219">
      <c r="A219" s="4"/>
      <c r="B219" s="4" t="s">
        <v>137</v>
      </c>
      <c r="R219" s="4">
        <v>1.0</v>
      </c>
    </row>
    <row r="220">
      <c r="A220" s="4"/>
      <c r="B220" s="4" t="s">
        <v>416</v>
      </c>
      <c r="E220" s="4">
        <v>1.0</v>
      </c>
    </row>
    <row r="221">
      <c r="A221" s="4"/>
      <c r="B221" s="4" t="s">
        <v>827</v>
      </c>
    </row>
    <row r="222">
      <c r="A222" s="4"/>
      <c r="B222" s="4" t="s">
        <v>828</v>
      </c>
    </row>
    <row r="223">
      <c r="A223" s="4"/>
      <c r="B223" s="4" t="s">
        <v>829</v>
      </c>
    </row>
    <row r="224">
      <c r="A224" s="4"/>
      <c r="B224" s="4" t="s">
        <v>831</v>
      </c>
    </row>
    <row r="225">
      <c r="A225" s="4"/>
      <c r="B225" s="4" t="s">
        <v>147</v>
      </c>
    </row>
    <row r="226">
      <c r="A226" s="4"/>
      <c r="B226" s="4" t="s">
        <v>457</v>
      </c>
      <c r="C226" s="4">
        <v>3.0</v>
      </c>
      <c r="D226" s="4">
        <v>2.0</v>
      </c>
      <c r="E226" s="4">
        <v>2.0</v>
      </c>
      <c r="F226" s="4">
        <v>4.0</v>
      </c>
      <c r="G226" s="4">
        <v>3.0</v>
      </c>
      <c r="I226" s="4">
        <v>1.0</v>
      </c>
      <c r="J226" s="4">
        <v>1.0</v>
      </c>
      <c r="L226" s="4">
        <v>2.0</v>
      </c>
      <c r="O226" s="4">
        <v>1.0</v>
      </c>
    </row>
    <row r="227">
      <c r="A227" s="4"/>
      <c r="B227" s="4" t="s">
        <v>458</v>
      </c>
      <c r="C227" s="4">
        <v>1.0</v>
      </c>
      <c r="F227" s="4">
        <v>1.0</v>
      </c>
      <c r="I227" s="4">
        <v>1.0</v>
      </c>
      <c r="J227" s="4">
        <v>2.0</v>
      </c>
      <c r="M227" s="4">
        <v>1.0</v>
      </c>
      <c r="R227" s="4">
        <v>2.0</v>
      </c>
      <c r="X227" s="4">
        <v>1.0</v>
      </c>
    </row>
    <row r="228">
      <c r="A228" s="4"/>
      <c r="B228" s="4" t="s">
        <v>1276</v>
      </c>
    </row>
    <row r="229">
      <c r="A229" s="4"/>
      <c r="B229" s="4" t="s">
        <v>926</v>
      </c>
    </row>
    <row r="230">
      <c r="A230" s="4"/>
      <c r="B230" s="4" t="s">
        <v>459</v>
      </c>
    </row>
    <row r="231">
      <c r="A231" s="4"/>
      <c r="B231" s="4" t="s">
        <v>1277</v>
      </c>
    </row>
    <row r="232">
      <c r="A232" s="4"/>
      <c r="B232" s="4" t="s">
        <v>311</v>
      </c>
    </row>
    <row r="233">
      <c r="A233" s="4"/>
      <c r="B233" s="4" t="s">
        <v>312</v>
      </c>
    </row>
    <row r="234">
      <c r="A234" s="4"/>
      <c r="B234" s="4" t="s">
        <v>313</v>
      </c>
      <c r="F234" s="4">
        <v>1.0</v>
      </c>
    </row>
    <row r="235">
      <c r="A235" s="4"/>
      <c r="B235" s="4" t="s">
        <v>314</v>
      </c>
    </row>
    <row r="236">
      <c r="A236" s="4"/>
      <c r="B236" s="4" t="s">
        <v>315</v>
      </c>
    </row>
    <row r="237">
      <c r="A237" s="4"/>
      <c r="B237" s="4" t="s">
        <v>316</v>
      </c>
      <c r="C237" s="4">
        <v>1.0</v>
      </c>
      <c r="D237" s="4">
        <v>2.0</v>
      </c>
      <c r="E237" s="4">
        <v>1.0</v>
      </c>
      <c r="F237" s="4">
        <v>2.0</v>
      </c>
      <c r="G237" s="4">
        <v>2.0</v>
      </c>
      <c r="I237" s="4">
        <v>2.0</v>
      </c>
      <c r="K237" s="4">
        <v>1.0</v>
      </c>
      <c r="L237" s="4">
        <v>1.0</v>
      </c>
      <c r="M237" s="4">
        <v>1.0</v>
      </c>
      <c r="O237" s="4">
        <v>1.0</v>
      </c>
      <c r="T237" s="4">
        <v>2.0</v>
      </c>
      <c r="Y237" s="4">
        <v>1.0</v>
      </c>
    </row>
    <row r="238">
      <c r="A238" s="4"/>
      <c r="B238" s="4" t="s">
        <v>317</v>
      </c>
    </row>
    <row r="239">
      <c r="A239" s="4"/>
      <c r="B239" s="4" t="s">
        <v>318</v>
      </c>
    </row>
    <row r="240">
      <c r="A240" s="4"/>
      <c r="B240" s="4" t="s">
        <v>319</v>
      </c>
      <c r="AI240" s="4">
        <v>1.0</v>
      </c>
    </row>
    <row r="241">
      <c r="A241" s="4"/>
      <c r="B241" s="4" t="s">
        <v>460</v>
      </c>
    </row>
    <row r="242">
      <c r="A242" s="4"/>
      <c r="B242" s="4" t="s">
        <v>149</v>
      </c>
      <c r="O242" s="4">
        <v>1.0</v>
      </c>
      <c r="T242" s="4">
        <v>1.0</v>
      </c>
    </row>
    <row r="243">
      <c r="A243" s="4"/>
      <c r="B243" s="4" t="s">
        <v>354</v>
      </c>
      <c r="D243" s="4">
        <v>1.0</v>
      </c>
    </row>
    <row r="244">
      <c r="A244" s="4"/>
      <c r="B244" s="4" t="s">
        <v>355</v>
      </c>
      <c r="D244" s="4">
        <v>1.0</v>
      </c>
    </row>
    <row r="245">
      <c r="A245" s="4"/>
      <c r="B245" s="4" t="s">
        <v>356</v>
      </c>
      <c r="D245" s="4">
        <v>1.0</v>
      </c>
    </row>
    <row r="246">
      <c r="A246" s="4"/>
      <c r="B246" s="4" t="s">
        <v>357</v>
      </c>
    </row>
    <row r="247">
      <c r="A247" s="4"/>
      <c r="B247" s="4" t="s">
        <v>358</v>
      </c>
      <c r="D247" s="4">
        <v>1.0</v>
      </c>
    </row>
    <row r="248">
      <c r="A248" s="4"/>
      <c r="B248" s="4" t="s">
        <v>359</v>
      </c>
      <c r="D248" s="4">
        <v>1.0</v>
      </c>
    </row>
    <row r="249">
      <c r="A249" s="4"/>
      <c r="B249" s="4" t="s">
        <v>360</v>
      </c>
    </row>
    <row r="250">
      <c r="A250" s="4"/>
      <c r="B250" s="4" t="s">
        <v>361</v>
      </c>
      <c r="D250" s="4">
        <v>1.0</v>
      </c>
    </row>
    <row r="251">
      <c r="A251" s="4"/>
      <c r="B251" s="4" t="s">
        <v>362</v>
      </c>
    </row>
    <row r="252">
      <c r="A252" s="4"/>
      <c r="B252" s="4" t="s">
        <v>363</v>
      </c>
      <c r="D252" s="4">
        <v>1.0</v>
      </c>
    </row>
    <row r="253">
      <c r="A253" s="4"/>
      <c r="B253" s="4" t="s">
        <v>364</v>
      </c>
    </row>
    <row r="254">
      <c r="A254" s="4"/>
      <c r="B254" s="4" t="s">
        <v>365</v>
      </c>
    </row>
    <row r="255">
      <c r="A255" s="4"/>
      <c r="B255" s="4" t="s">
        <v>154</v>
      </c>
    </row>
    <row r="256">
      <c r="A256" s="4"/>
      <c r="B256" s="4" t="s">
        <v>157</v>
      </c>
    </row>
    <row r="257">
      <c r="A257" s="4"/>
      <c r="B257" s="4" t="s">
        <v>155</v>
      </c>
      <c r="I257" s="4">
        <v>1.0</v>
      </c>
      <c r="N257" s="4"/>
      <c r="Q257" s="4"/>
    </row>
    <row r="258">
      <c r="A258" s="4"/>
      <c r="B258" s="4" t="s">
        <v>156</v>
      </c>
      <c r="E258" s="4"/>
      <c r="F258" s="4"/>
      <c r="I258" s="4"/>
      <c r="J258" s="4">
        <v>1.0</v>
      </c>
      <c r="N258" s="4"/>
      <c r="Q258" s="4"/>
    </row>
    <row r="259">
      <c r="A259" s="4"/>
      <c r="B259" s="4" t="s">
        <v>610</v>
      </c>
      <c r="E259" s="4"/>
      <c r="F259" s="4">
        <v>1.0</v>
      </c>
      <c r="I259" s="4">
        <v>1.0</v>
      </c>
      <c r="N259" s="4"/>
      <c r="Q259" s="4"/>
    </row>
    <row r="260">
      <c r="A260" s="4"/>
      <c r="B260" s="4" t="s">
        <v>461</v>
      </c>
      <c r="E260" s="4">
        <v>1.0</v>
      </c>
      <c r="N260" s="4">
        <v>1.0</v>
      </c>
      <c r="Q260" s="4">
        <v>1.0</v>
      </c>
    </row>
    <row r="261">
      <c r="A261" s="4"/>
      <c r="B261" s="4" t="s">
        <v>462</v>
      </c>
      <c r="C261" s="4">
        <v>1.0</v>
      </c>
      <c r="E261" s="4">
        <v>7.0</v>
      </c>
      <c r="I261" s="4">
        <v>1.0</v>
      </c>
      <c r="L261" s="4">
        <v>1.0</v>
      </c>
      <c r="O261" s="4">
        <v>1.0</v>
      </c>
      <c r="Q261" s="4">
        <v>1.0</v>
      </c>
      <c r="T261" s="4">
        <v>1.0</v>
      </c>
    </row>
    <row r="262">
      <c r="A262" s="4"/>
      <c r="B262" s="4" t="s">
        <v>463</v>
      </c>
    </row>
    <row r="263">
      <c r="A263" s="4"/>
      <c r="B263" s="4" t="s">
        <v>927</v>
      </c>
      <c r="J263" s="4">
        <v>3.0</v>
      </c>
    </row>
    <row r="264">
      <c r="A264" s="4"/>
      <c r="B264" s="4" t="s">
        <v>159</v>
      </c>
    </row>
    <row r="265">
      <c r="A265" s="4"/>
      <c r="B265" s="4" t="s">
        <v>611</v>
      </c>
      <c r="D265" s="4">
        <v>2.0</v>
      </c>
    </row>
    <row r="266">
      <c r="A266" s="4"/>
      <c r="B266" s="4" t="s">
        <v>612</v>
      </c>
    </row>
    <row r="267">
      <c r="A267" s="4"/>
      <c r="B267" s="4" t="s">
        <v>613</v>
      </c>
      <c r="D267" s="4">
        <v>1.0</v>
      </c>
    </row>
    <row r="268">
      <c r="A268" s="4"/>
      <c r="B268" s="4" t="s">
        <v>614</v>
      </c>
      <c r="D268" s="4">
        <v>1.0</v>
      </c>
      <c r="E268" s="4">
        <v>1.0</v>
      </c>
      <c r="L268" s="4">
        <v>1.0</v>
      </c>
    </row>
    <row r="269">
      <c r="A269" s="4"/>
      <c r="B269" s="4" t="s">
        <v>464</v>
      </c>
    </row>
    <row r="270">
      <c r="A270" s="4"/>
      <c r="B270" s="4" t="s">
        <v>377</v>
      </c>
      <c r="J270" s="4">
        <v>1.0</v>
      </c>
      <c r="X270" s="4">
        <v>1.0</v>
      </c>
    </row>
    <row r="271">
      <c r="A271" s="4"/>
      <c r="B271" s="4" t="s">
        <v>378</v>
      </c>
    </row>
    <row r="272">
      <c r="A272" s="4"/>
      <c r="B272" s="4" t="s">
        <v>615</v>
      </c>
    </row>
    <row r="273">
      <c r="A273" s="4"/>
      <c r="B273" s="4" t="s">
        <v>616</v>
      </c>
    </row>
    <row r="274">
      <c r="A274" s="4"/>
      <c r="B274" s="4" t="s">
        <v>381</v>
      </c>
    </row>
    <row r="275">
      <c r="A275" s="4"/>
      <c r="B275" s="4" t="s">
        <v>382</v>
      </c>
    </row>
    <row r="276">
      <c r="A276" s="4"/>
      <c r="B276" s="4" t="s">
        <v>383</v>
      </c>
    </row>
    <row r="277">
      <c r="A277" s="4"/>
      <c r="B277" s="4" t="s">
        <v>709</v>
      </c>
    </row>
    <row r="278">
      <c r="A278" s="4"/>
      <c r="B278" s="4" t="s">
        <v>710</v>
      </c>
    </row>
    <row r="279">
      <c r="A279" s="4"/>
      <c r="B279" s="4" t="s">
        <v>465</v>
      </c>
      <c r="C279" s="4">
        <v>1.0</v>
      </c>
      <c r="E279" s="4">
        <v>1.0</v>
      </c>
      <c r="G279" s="4">
        <v>1.0</v>
      </c>
      <c r="L279" s="4">
        <v>1.0</v>
      </c>
      <c r="Q279" s="4">
        <v>4.0</v>
      </c>
    </row>
    <row r="280">
      <c r="A280" s="4"/>
      <c r="B280" s="4" t="s">
        <v>409</v>
      </c>
    </row>
    <row r="281">
      <c r="A281" s="4"/>
      <c r="B281" s="4" t="s">
        <v>466</v>
      </c>
      <c r="D281" s="4">
        <v>1.0</v>
      </c>
      <c r="E281" s="4">
        <v>1.0</v>
      </c>
      <c r="F281" s="4">
        <v>1.0</v>
      </c>
      <c r="G281" s="4">
        <v>1.0</v>
      </c>
      <c r="H281" s="4">
        <v>1.0</v>
      </c>
      <c r="I281" s="4">
        <v>2.0</v>
      </c>
      <c r="N281" s="4">
        <v>7.0</v>
      </c>
      <c r="O281" s="4">
        <v>2.0</v>
      </c>
      <c r="R281" s="4">
        <v>2.0</v>
      </c>
      <c r="X281" s="4">
        <v>1.0</v>
      </c>
      <c r="AF281" s="4">
        <v>1.0</v>
      </c>
    </row>
    <row r="282">
      <c r="A282" s="4"/>
      <c r="B282" s="4" t="s">
        <v>467</v>
      </c>
    </row>
    <row r="283">
      <c r="A283" s="4"/>
      <c r="B283" s="4" t="s">
        <v>468</v>
      </c>
    </row>
    <row r="284">
      <c r="A284" s="4"/>
      <c r="B284" s="4" t="s">
        <v>469</v>
      </c>
      <c r="C284" s="4">
        <v>1.0</v>
      </c>
      <c r="G284" s="4">
        <v>1.0</v>
      </c>
      <c r="L284" s="4">
        <v>1.0</v>
      </c>
    </row>
    <row r="285">
      <c r="A285" s="4"/>
      <c r="B285" s="4" t="s">
        <v>909</v>
      </c>
      <c r="D285" s="4">
        <v>1.0</v>
      </c>
      <c r="K285" s="4">
        <v>1.0</v>
      </c>
    </row>
    <row r="286">
      <c r="A286" s="4"/>
      <c r="B286" s="4" t="s">
        <v>1073</v>
      </c>
    </row>
    <row r="287">
      <c r="A287" s="4"/>
      <c r="B287" s="4" t="s">
        <v>177</v>
      </c>
    </row>
    <row r="288">
      <c r="A288" s="4"/>
      <c r="B288" s="4" t="s">
        <v>178</v>
      </c>
    </row>
    <row r="289">
      <c r="A289" s="4"/>
      <c r="B289" s="4" t="s">
        <v>179</v>
      </c>
    </row>
    <row r="290">
      <c r="A290" s="4"/>
      <c r="B290" s="4" t="s">
        <v>180</v>
      </c>
    </row>
    <row r="291">
      <c r="A291" s="4"/>
      <c r="B291" s="4" t="s">
        <v>181</v>
      </c>
    </row>
    <row r="292">
      <c r="A292" s="4"/>
      <c r="B292" s="4" t="s">
        <v>182</v>
      </c>
    </row>
    <row r="293">
      <c r="A293" s="4"/>
      <c r="B293" s="4" t="s">
        <v>183</v>
      </c>
    </row>
    <row r="294">
      <c r="A294" s="4"/>
      <c r="B294" s="4" t="s">
        <v>184</v>
      </c>
    </row>
    <row r="295">
      <c r="A295" s="4"/>
      <c r="B295" s="4" t="s">
        <v>470</v>
      </c>
      <c r="C295" s="4">
        <v>2.0</v>
      </c>
      <c r="D295" s="4">
        <v>1.0</v>
      </c>
      <c r="E295" s="4">
        <v>1.0</v>
      </c>
      <c r="G295" s="4">
        <v>3.0</v>
      </c>
      <c r="I295" s="4">
        <v>3.0</v>
      </c>
      <c r="N295" s="4">
        <v>1.0</v>
      </c>
    </row>
    <row r="296">
      <c r="A296" s="4"/>
      <c r="B296" s="4" t="s">
        <v>471</v>
      </c>
    </row>
    <row r="297">
      <c r="A297" s="4"/>
      <c r="B297" s="4" t="s">
        <v>412</v>
      </c>
      <c r="G297" s="4">
        <v>1.0</v>
      </c>
      <c r="I297" s="4">
        <v>1.0</v>
      </c>
    </row>
    <row r="298">
      <c r="A298" s="4"/>
      <c r="B298" s="4" t="s">
        <v>413</v>
      </c>
      <c r="G298" s="4">
        <v>1.0</v>
      </c>
      <c r="I298" s="4">
        <v>1.0</v>
      </c>
    </row>
    <row r="299">
      <c r="A299" s="4"/>
      <c r="B299" s="4" t="s">
        <v>414</v>
      </c>
      <c r="G299" s="4">
        <v>1.0</v>
      </c>
      <c r="I299" s="4">
        <v>1.0</v>
      </c>
    </row>
    <row r="300">
      <c r="A300" s="4"/>
      <c r="B300" s="4" t="s">
        <v>928</v>
      </c>
    </row>
    <row r="301">
      <c r="A301" s="4"/>
      <c r="B301" s="4" t="s">
        <v>472</v>
      </c>
      <c r="C301" s="4">
        <v>1.0</v>
      </c>
      <c r="D301" s="4">
        <v>2.0</v>
      </c>
      <c r="E301" s="4">
        <v>2.0</v>
      </c>
      <c r="F301" s="4">
        <v>1.0</v>
      </c>
      <c r="G301" s="4">
        <v>3.0</v>
      </c>
      <c r="I301" s="4">
        <v>1.0</v>
      </c>
      <c r="J301" s="4">
        <v>1.0</v>
      </c>
      <c r="K301" s="4">
        <v>2.0</v>
      </c>
      <c r="L301" s="4">
        <v>2.0</v>
      </c>
      <c r="M301" s="4">
        <v>1.0</v>
      </c>
      <c r="N301" s="4">
        <v>2.0</v>
      </c>
      <c r="O301" s="4">
        <v>1.0</v>
      </c>
      <c r="AH301" s="4">
        <v>1.0</v>
      </c>
    </row>
    <row r="302">
      <c r="A302" s="4"/>
      <c r="B302" s="4" t="s">
        <v>236</v>
      </c>
    </row>
    <row r="303">
      <c r="A303" s="4"/>
      <c r="B303" s="4" t="s">
        <v>302</v>
      </c>
    </row>
    <row r="304">
      <c r="A304" s="4"/>
      <c r="B304" s="4" t="s">
        <v>189</v>
      </c>
    </row>
    <row r="305">
      <c r="A305" s="4"/>
      <c r="B305" s="4" t="s">
        <v>190</v>
      </c>
    </row>
    <row r="306">
      <c r="A306" s="4"/>
      <c r="B306" s="4" t="s">
        <v>617</v>
      </c>
    </row>
    <row r="307">
      <c r="A307" s="4"/>
      <c r="B307" s="4" t="s">
        <v>618</v>
      </c>
      <c r="C307" s="4">
        <v>1.0</v>
      </c>
      <c r="D307" s="4">
        <v>1.0</v>
      </c>
      <c r="G307" s="4">
        <v>1.0</v>
      </c>
      <c r="K307" s="4">
        <v>1.0</v>
      </c>
      <c r="M307" s="4">
        <v>1.0</v>
      </c>
      <c r="O307" s="4">
        <v>1.0</v>
      </c>
    </row>
    <row r="308">
      <c r="A308" s="4"/>
      <c r="B308" s="4" t="s">
        <v>619</v>
      </c>
    </row>
    <row r="309">
      <c r="A309" s="4"/>
      <c r="B309" s="4" t="s">
        <v>473</v>
      </c>
    </row>
    <row r="310">
      <c r="A310" s="4"/>
      <c r="B310" s="4" t="s">
        <v>474</v>
      </c>
    </row>
    <row r="311">
      <c r="A311" s="4"/>
      <c r="B311" s="4" t="s">
        <v>475</v>
      </c>
      <c r="N311" s="4">
        <v>1.0</v>
      </c>
    </row>
    <row r="312">
      <c r="A312" s="4"/>
      <c r="B312" s="4" t="s">
        <v>476</v>
      </c>
      <c r="G312" s="4">
        <v>1.0</v>
      </c>
      <c r="L312" s="4">
        <v>1.0</v>
      </c>
      <c r="O312" s="4">
        <v>1.0</v>
      </c>
    </row>
    <row r="313">
      <c r="A313" s="4"/>
      <c r="B313" s="4" t="s">
        <v>620</v>
      </c>
      <c r="C313" s="4">
        <v>1.0</v>
      </c>
      <c r="F313" s="4">
        <v>1.0</v>
      </c>
      <c r="I313" s="4">
        <v>1.0</v>
      </c>
    </row>
    <row r="314">
      <c r="A314" s="4"/>
      <c r="B314" s="4" t="s">
        <v>624</v>
      </c>
    </row>
    <row r="315">
      <c r="A315" s="4"/>
      <c r="B315" s="4" t="s">
        <v>477</v>
      </c>
    </row>
    <row r="316">
      <c r="A316" s="4"/>
      <c r="B316" s="4" t="s">
        <v>622</v>
      </c>
      <c r="G316" s="4">
        <v>1.0</v>
      </c>
      <c r="P316" s="4"/>
    </row>
    <row r="317">
      <c r="A317" s="4"/>
      <c r="B317" s="4" t="s">
        <v>623</v>
      </c>
      <c r="G317" s="4">
        <v>1.0</v>
      </c>
      <c r="P317" s="4"/>
    </row>
    <row r="318">
      <c r="A318" s="4"/>
      <c r="B318" s="4" t="s">
        <v>621</v>
      </c>
      <c r="G318" s="4">
        <v>1.0</v>
      </c>
      <c r="P318" s="4"/>
    </row>
    <row r="319">
      <c r="A319" s="4"/>
      <c r="B319" s="4" t="s">
        <v>192</v>
      </c>
      <c r="P319" s="4">
        <v>1.0</v>
      </c>
    </row>
    <row r="320">
      <c r="A320" s="4"/>
      <c r="B320" s="4" t="s">
        <v>193</v>
      </c>
      <c r="P320" s="4">
        <v>1.0</v>
      </c>
    </row>
    <row r="321">
      <c r="A321" s="4"/>
      <c r="B321" s="4" t="s">
        <v>479</v>
      </c>
      <c r="N321" s="4">
        <v>2.0</v>
      </c>
    </row>
    <row r="322">
      <c r="A322" s="4"/>
      <c r="B322" s="4" t="s">
        <v>478</v>
      </c>
      <c r="C322" s="4">
        <v>1.0</v>
      </c>
      <c r="G322" s="4">
        <v>1.0</v>
      </c>
      <c r="L322" s="4">
        <v>1.0</v>
      </c>
    </row>
    <row r="323">
      <c r="A323" s="4"/>
      <c r="B323" s="4" t="s">
        <v>200</v>
      </c>
      <c r="G323" s="4">
        <v>1.0</v>
      </c>
    </row>
    <row r="324">
      <c r="A324" s="4"/>
      <c r="B324" s="4" t="s">
        <v>196</v>
      </c>
      <c r="G324" s="4">
        <v>1.0</v>
      </c>
    </row>
    <row r="325">
      <c r="A325" s="4"/>
      <c r="B325" s="4" t="s">
        <v>198</v>
      </c>
      <c r="G325" s="4">
        <v>1.0</v>
      </c>
    </row>
    <row r="326">
      <c r="A326" s="4"/>
      <c r="B326" s="4" t="s">
        <v>199</v>
      </c>
      <c r="G326" s="4">
        <v>1.0</v>
      </c>
    </row>
    <row r="327">
      <c r="A327" s="4"/>
      <c r="B327" s="4" t="s">
        <v>195</v>
      </c>
      <c r="G327" s="4">
        <v>1.0</v>
      </c>
    </row>
    <row r="328">
      <c r="A328" s="4"/>
      <c r="B328" s="4" t="s">
        <v>197</v>
      </c>
      <c r="G328" s="4">
        <v>1.0</v>
      </c>
    </row>
    <row r="329">
      <c r="A329" s="4"/>
      <c r="B329" s="4" t="s">
        <v>80</v>
      </c>
    </row>
    <row r="330">
      <c r="A330" s="4"/>
      <c r="B330" s="4" t="s">
        <v>81</v>
      </c>
    </row>
    <row r="331">
      <c r="A331" s="4"/>
      <c r="B331" s="4" t="s">
        <v>83</v>
      </c>
    </row>
    <row r="332">
      <c r="A332" s="4"/>
      <c r="B332" s="4" t="s">
        <v>84</v>
      </c>
    </row>
    <row r="333">
      <c r="A333" s="4"/>
      <c r="B333" s="4" t="s">
        <v>82</v>
      </c>
      <c r="C333" s="4">
        <v>1.0</v>
      </c>
      <c r="L333" s="4">
        <v>1.0</v>
      </c>
    </row>
    <row r="334">
      <c r="A334" s="4"/>
      <c r="B334" s="4" t="s">
        <v>85</v>
      </c>
    </row>
    <row r="335">
      <c r="A335" s="4"/>
      <c r="B335" s="4" t="s">
        <v>86</v>
      </c>
    </row>
    <row r="336">
      <c r="A336" s="4"/>
      <c r="B336" s="4" t="s">
        <v>87</v>
      </c>
    </row>
    <row r="337">
      <c r="A337" s="4"/>
      <c r="B337" s="4" t="s">
        <v>88</v>
      </c>
    </row>
    <row r="338">
      <c r="A338" s="4"/>
      <c r="B338" s="4" t="s">
        <v>625</v>
      </c>
    </row>
    <row r="339">
      <c r="A339" s="4"/>
      <c r="B339" s="4" t="s">
        <v>480</v>
      </c>
    </row>
    <row r="340">
      <c r="A340" s="4"/>
      <c r="B340" s="4" t="s">
        <v>626</v>
      </c>
      <c r="F340" s="4">
        <v>1.0</v>
      </c>
      <c r="I340" s="4">
        <v>1.0</v>
      </c>
    </row>
    <row r="341">
      <c r="A341" s="4"/>
      <c r="B341" s="4" t="s">
        <v>689</v>
      </c>
    </row>
    <row r="342">
      <c r="A342" s="4"/>
      <c r="B342" s="4" t="s">
        <v>690</v>
      </c>
    </row>
    <row r="343">
      <c r="A343" s="4"/>
      <c r="B343" s="4" t="s">
        <v>691</v>
      </c>
    </row>
    <row r="344">
      <c r="A344" s="4"/>
      <c r="B344" s="4" t="s">
        <v>692</v>
      </c>
    </row>
    <row r="345">
      <c r="A345" s="4"/>
      <c r="B345" s="4" t="s">
        <v>694</v>
      </c>
      <c r="C345" s="4"/>
      <c r="D345" s="4">
        <v>1.0</v>
      </c>
      <c r="G345" s="4"/>
      <c r="I345" s="4"/>
      <c r="K345" s="4">
        <v>1.0</v>
      </c>
    </row>
    <row r="346">
      <c r="A346" s="4"/>
      <c r="B346" s="4" t="s">
        <v>693</v>
      </c>
      <c r="C346" s="4"/>
      <c r="D346" s="4">
        <v>1.0</v>
      </c>
      <c r="G346" s="4">
        <v>1.0</v>
      </c>
      <c r="I346" s="4">
        <v>1.0</v>
      </c>
    </row>
    <row r="347">
      <c r="A347" s="4"/>
      <c r="B347" s="4" t="s">
        <v>695</v>
      </c>
      <c r="C347" s="4"/>
      <c r="D347" s="4">
        <v>1.0</v>
      </c>
      <c r="K347" s="4">
        <v>1.0</v>
      </c>
    </row>
    <row r="348">
      <c r="A348" s="4"/>
      <c r="B348" s="4" t="s">
        <v>696</v>
      </c>
      <c r="C348" s="4">
        <v>1.0</v>
      </c>
    </row>
    <row r="349">
      <c r="A349" s="4"/>
      <c r="B349" s="4" t="s">
        <v>481</v>
      </c>
    </row>
    <row r="350">
      <c r="A350" s="4"/>
      <c r="B350" s="4" t="s">
        <v>628</v>
      </c>
    </row>
    <row r="351">
      <c r="A351" s="4"/>
      <c r="B351" s="4" t="s">
        <v>629</v>
      </c>
      <c r="E351" s="4">
        <v>10.0</v>
      </c>
      <c r="F351" s="4">
        <v>2.0</v>
      </c>
      <c r="G351" s="4">
        <v>1.0</v>
      </c>
      <c r="Q351" s="4">
        <v>1.0</v>
      </c>
    </row>
    <row r="352">
      <c r="A352" s="4"/>
      <c r="B352" s="4" t="s">
        <v>627</v>
      </c>
      <c r="C352" s="4">
        <v>1.0</v>
      </c>
      <c r="I352" s="4">
        <v>1.0</v>
      </c>
    </row>
    <row r="353">
      <c r="A353" s="4"/>
      <c r="B353" s="4" t="s">
        <v>915</v>
      </c>
    </row>
    <row r="354">
      <c r="A354" s="4"/>
      <c r="B354" s="4" t="s">
        <v>916</v>
      </c>
    </row>
    <row r="355">
      <c r="A355" s="4"/>
      <c r="B355" s="4" t="s">
        <v>630</v>
      </c>
      <c r="G355" s="4">
        <v>1.0</v>
      </c>
    </row>
    <row r="356">
      <c r="A356" s="4"/>
      <c r="B356" s="4" t="s">
        <v>202</v>
      </c>
      <c r="L356" s="4">
        <v>1.0</v>
      </c>
    </row>
    <row r="357">
      <c r="A357" s="4"/>
      <c r="B357" s="4" t="s">
        <v>482</v>
      </c>
      <c r="N357" s="4">
        <v>1.0</v>
      </c>
    </row>
    <row r="358">
      <c r="A358" s="4"/>
      <c r="B358" s="4" t="s">
        <v>631</v>
      </c>
    </row>
    <row r="359">
      <c r="A359" s="4"/>
      <c r="B359" s="4" t="s">
        <v>698</v>
      </c>
    </row>
    <row r="360">
      <c r="A360" s="4"/>
      <c r="B360" s="4" t="s">
        <v>699</v>
      </c>
    </row>
    <row r="361">
      <c r="A361" s="4"/>
      <c r="B361" s="4" t="s">
        <v>700</v>
      </c>
      <c r="N361" s="4">
        <v>1.0</v>
      </c>
    </row>
    <row r="362">
      <c r="A362" s="4"/>
      <c r="B362" s="4" t="s">
        <v>701</v>
      </c>
    </row>
    <row r="363">
      <c r="A363" s="4"/>
      <c r="B363" s="4" t="s">
        <v>702</v>
      </c>
    </row>
    <row r="364">
      <c r="A364" s="4"/>
      <c r="B364" s="4" t="s">
        <v>703</v>
      </c>
    </row>
    <row r="365">
      <c r="A365" s="4"/>
      <c r="B365" s="4" t="s">
        <v>704</v>
      </c>
      <c r="R365" s="4">
        <v>1.0</v>
      </c>
      <c r="X365" s="4">
        <v>1.0</v>
      </c>
    </row>
    <row r="366">
      <c r="A366" s="4"/>
      <c r="B366" s="4" t="s">
        <v>705</v>
      </c>
    </row>
    <row r="367">
      <c r="A367" s="4"/>
      <c r="B367" s="4" t="s">
        <v>929</v>
      </c>
    </row>
    <row r="368">
      <c r="A368" s="4"/>
      <c r="B368" s="4" t="s">
        <v>483</v>
      </c>
    </row>
    <row r="369">
      <c r="A369" s="4"/>
      <c r="B369" s="4" t="s">
        <v>219</v>
      </c>
    </row>
    <row r="370">
      <c r="A370" s="4"/>
      <c r="B370" s="4" t="s">
        <v>220</v>
      </c>
    </row>
    <row r="371">
      <c r="A371" s="4"/>
      <c r="B371" s="4" t="s">
        <v>218</v>
      </c>
      <c r="J371" s="4">
        <v>1.0</v>
      </c>
    </row>
    <row r="372">
      <c r="A372" s="4"/>
      <c r="B372" s="4" t="s">
        <v>221</v>
      </c>
    </row>
    <row r="373">
      <c r="A373" s="4"/>
      <c r="B373" s="4" t="s">
        <v>222</v>
      </c>
    </row>
    <row r="374">
      <c r="A374" s="4"/>
      <c r="B374" s="4" t="s">
        <v>632</v>
      </c>
      <c r="C374" s="4">
        <v>1.0</v>
      </c>
      <c r="E374" s="4">
        <v>1.0</v>
      </c>
      <c r="F374" s="4">
        <v>1.0</v>
      </c>
      <c r="I374" s="4">
        <v>1.0</v>
      </c>
      <c r="J374" s="4">
        <v>1.0</v>
      </c>
      <c r="R374" s="4">
        <v>1.0</v>
      </c>
      <c r="Z374" s="4">
        <v>1.0</v>
      </c>
    </row>
    <row r="375">
      <c r="A375" s="4"/>
      <c r="B375" s="4" t="s">
        <v>711</v>
      </c>
      <c r="L375" s="4">
        <v>2.0</v>
      </c>
    </row>
    <row r="376">
      <c r="A376" s="4"/>
      <c r="B376" s="4" t="s">
        <v>712</v>
      </c>
    </row>
    <row r="377">
      <c r="A377" s="4"/>
      <c r="B377" s="4" t="s">
        <v>713</v>
      </c>
      <c r="L377" s="4">
        <v>1.0</v>
      </c>
    </row>
    <row r="378">
      <c r="A378" s="4"/>
      <c r="B378" s="4" t="s">
        <v>714</v>
      </c>
    </row>
    <row r="379">
      <c r="A379" s="4"/>
      <c r="B379" s="4" t="s">
        <v>715</v>
      </c>
      <c r="L379" s="4">
        <v>1.0</v>
      </c>
    </row>
    <row r="380">
      <c r="A380" s="4"/>
      <c r="B380" s="4" t="s">
        <v>716</v>
      </c>
    </row>
    <row r="381">
      <c r="A381" s="4"/>
      <c r="B381" s="4" t="s">
        <v>717</v>
      </c>
    </row>
    <row r="382">
      <c r="A382" s="4"/>
      <c r="B382" s="4" t="s">
        <v>718</v>
      </c>
      <c r="E382" s="4">
        <v>1.0</v>
      </c>
    </row>
    <row r="383">
      <c r="A383" s="4"/>
      <c r="B383" s="4" t="s">
        <v>719</v>
      </c>
      <c r="E383" s="4">
        <v>1.0</v>
      </c>
      <c r="L383" s="4">
        <v>1.0</v>
      </c>
    </row>
    <row r="384">
      <c r="A384" s="4"/>
      <c r="B384" s="4" t="s">
        <v>720</v>
      </c>
      <c r="L384" s="4">
        <v>1.0</v>
      </c>
    </row>
    <row r="385">
      <c r="A385" s="4"/>
      <c r="B385" s="4" t="s">
        <v>721</v>
      </c>
    </row>
    <row r="386">
      <c r="A386" s="4"/>
      <c r="B386" s="4" t="s">
        <v>833</v>
      </c>
    </row>
    <row r="387">
      <c r="A387" s="4"/>
      <c r="B387" s="4" t="s">
        <v>834</v>
      </c>
    </row>
    <row r="388">
      <c r="A388" s="4"/>
      <c r="B388" s="4" t="s">
        <v>1278</v>
      </c>
      <c r="V388" s="4">
        <v>4.0</v>
      </c>
    </row>
    <row r="389">
      <c r="A389" s="4"/>
      <c r="B389" s="4" t="s">
        <v>633</v>
      </c>
    </row>
    <row r="390">
      <c r="A390" s="4"/>
      <c r="B390" s="4" t="s">
        <v>484</v>
      </c>
      <c r="G390" s="4">
        <v>1.0</v>
      </c>
    </row>
    <row r="391">
      <c r="A391" s="4"/>
      <c r="B391" s="4" t="s">
        <v>634</v>
      </c>
    </row>
    <row r="392">
      <c r="A392" s="4"/>
      <c r="B392" s="4" t="s">
        <v>635</v>
      </c>
      <c r="C392" s="4">
        <v>1.0</v>
      </c>
      <c r="E392" s="4">
        <v>3.0</v>
      </c>
      <c r="L392" s="4">
        <v>1.0</v>
      </c>
    </row>
    <row r="393">
      <c r="A393" s="4"/>
      <c r="B393" s="4" t="s">
        <v>636</v>
      </c>
    </row>
    <row r="394">
      <c r="A394" s="4"/>
      <c r="B394" s="4" t="s">
        <v>303</v>
      </c>
    </row>
    <row r="395">
      <c r="A395" s="4"/>
      <c r="B395" s="4" t="s">
        <v>304</v>
      </c>
    </row>
    <row r="396">
      <c r="A396" s="4"/>
      <c r="B396" s="4" t="s">
        <v>305</v>
      </c>
    </row>
    <row r="397">
      <c r="A397" s="4"/>
      <c r="B397" s="4" t="s">
        <v>306</v>
      </c>
    </row>
    <row r="398">
      <c r="A398" s="4"/>
      <c r="B398" s="4" t="s">
        <v>723</v>
      </c>
      <c r="C398" s="4">
        <v>1.0</v>
      </c>
      <c r="L398" s="4">
        <v>1.0</v>
      </c>
    </row>
    <row r="399">
      <c r="A399" s="4"/>
      <c r="B399" s="4" t="s">
        <v>724</v>
      </c>
      <c r="C399" s="4">
        <v>1.0</v>
      </c>
      <c r="L399" s="4">
        <v>1.0</v>
      </c>
    </row>
    <row r="400">
      <c r="A400" s="4"/>
      <c r="B400" s="4" t="s">
        <v>637</v>
      </c>
    </row>
    <row r="401">
      <c r="A401" s="4"/>
      <c r="B401" s="4" t="s">
        <v>638</v>
      </c>
    </row>
    <row r="402">
      <c r="A402" s="4"/>
      <c r="B402" s="4" t="s">
        <v>485</v>
      </c>
    </row>
    <row r="403">
      <c r="A403" s="4"/>
      <c r="B403" s="4" t="s">
        <v>486</v>
      </c>
      <c r="C403" s="4">
        <v>1.0</v>
      </c>
      <c r="D403" s="4">
        <v>2.0</v>
      </c>
      <c r="E403" s="4">
        <v>2.0</v>
      </c>
      <c r="F403" s="4">
        <v>2.0</v>
      </c>
      <c r="G403" s="4">
        <v>3.0</v>
      </c>
      <c r="H403" s="4">
        <v>1.0</v>
      </c>
      <c r="I403" s="4">
        <v>2.0</v>
      </c>
      <c r="J403" s="4">
        <v>1.0</v>
      </c>
      <c r="K403" s="4">
        <v>1.0</v>
      </c>
      <c r="L403" s="4">
        <v>1.0</v>
      </c>
      <c r="M403" s="4">
        <v>2.0</v>
      </c>
      <c r="N403" s="4">
        <v>2.0</v>
      </c>
      <c r="O403" s="4">
        <v>2.0</v>
      </c>
      <c r="Q403" s="4">
        <v>1.0</v>
      </c>
      <c r="V403" s="4">
        <v>1.0</v>
      </c>
      <c r="AA403" s="4">
        <v>1.0</v>
      </c>
      <c r="AB403" s="4">
        <v>2.0</v>
      </c>
      <c r="AF403" s="4">
        <v>1.0</v>
      </c>
    </row>
    <row r="404">
      <c r="A404" s="4"/>
      <c r="B404" s="4" t="s">
        <v>639</v>
      </c>
    </row>
    <row r="405">
      <c r="A405" s="4"/>
      <c r="B405" s="4" t="s">
        <v>930</v>
      </c>
    </row>
    <row r="406">
      <c r="A406" s="4"/>
      <c r="B406" s="4" t="s">
        <v>640</v>
      </c>
    </row>
    <row r="407">
      <c r="A407" s="4"/>
      <c r="B407" s="4" t="s">
        <v>931</v>
      </c>
      <c r="N407" s="4">
        <v>4.0</v>
      </c>
    </row>
    <row r="408">
      <c r="A408" s="4"/>
      <c r="B408" s="4" t="s">
        <v>489</v>
      </c>
    </row>
    <row r="409">
      <c r="A409" s="4">
        <v>25.0</v>
      </c>
      <c r="B409" s="4" t="s">
        <v>490</v>
      </c>
      <c r="C409" s="4">
        <v>4.0</v>
      </c>
      <c r="E409" s="4">
        <v>1.0</v>
      </c>
      <c r="F409" s="4">
        <v>1.0</v>
      </c>
      <c r="J409" s="4">
        <v>1.0</v>
      </c>
      <c r="L409" s="4">
        <v>3.0</v>
      </c>
      <c r="M409" s="4">
        <v>4.0</v>
      </c>
      <c r="O409" s="4">
        <v>2.0</v>
      </c>
      <c r="U409" s="4">
        <v>1.0</v>
      </c>
      <c r="AF409" s="4">
        <v>1.0</v>
      </c>
    </row>
    <row r="410">
      <c r="A410" s="4"/>
      <c r="B410" s="4" t="s">
        <v>491</v>
      </c>
      <c r="C410" s="4">
        <v>13.0</v>
      </c>
      <c r="D410" s="4">
        <v>1.0</v>
      </c>
      <c r="G410" s="4">
        <v>5.0</v>
      </c>
      <c r="I410" s="4">
        <v>2.0</v>
      </c>
      <c r="K410" s="4">
        <v>1.0</v>
      </c>
      <c r="L410" s="4">
        <v>11.0</v>
      </c>
      <c r="M410" s="4">
        <v>5.0</v>
      </c>
      <c r="O410" s="4">
        <v>3.0</v>
      </c>
      <c r="Q410" s="4">
        <v>1.0</v>
      </c>
      <c r="U410" s="4">
        <v>2.0</v>
      </c>
      <c r="V410" s="4">
        <v>1.0</v>
      </c>
      <c r="AF410" s="4">
        <v>1.0</v>
      </c>
    </row>
    <row r="411">
      <c r="A411" s="4"/>
      <c r="B411" s="4" t="s">
        <v>492</v>
      </c>
      <c r="G411" s="4">
        <v>1.0</v>
      </c>
      <c r="O411" s="4">
        <v>1.0</v>
      </c>
    </row>
    <row r="412">
      <c r="A412" s="4"/>
      <c r="B412" s="4" t="s">
        <v>493</v>
      </c>
      <c r="O412" s="4">
        <v>1.0</v>
      </c>
    </row>
    <row r="413">
      <c r="A413" s="4"/>
      <c r="B413" s="4" t="s">
        <v>932</v>
      </c>
    </row>
    <row r="414">
      <c r="A414" s="4"/>
      <c r="B414" s="4" t="s">
        <v>1012</v>
      </c>
      <c r="F414" s="4">
        <v>1.0</v>
      </c>
      <c r="I414" s="4"/>
    </row>
    <row r="415">
      <c r="A415" s="4"/>
      <c r="B415" s="4" t="s">
        <v>1013</v>
      </c>
      <c r="F415" s="4">
        <v>1.0</v>
      </c>
      <c r="I415" s="4"/>
    </row>
    <row r="416">
      <c r="A416" s="4"/>
      <c r="B416" s="4" t="s">
        <v>641</v>
      </c>
      <c r="F416" s="4">
        <v>2.0</v>
      </c>
      <c r="I416" s="4">
        <v>2.0</v>
      </c>
    </row>
    <row r="417">
      <c r="A417" s="4"/>
      <c r="B417" s="4" t="s">
        <v>642</v>
      </c>
      <c r="F417" s="4">
        <v>1.0</v>
      </c>
      <c r="I417" s="4"/>
    </row>
    <row r="418">
      <c r="A418" s="4"/>
      <c r="B418" s="4" t="s">
        <v>643</v>
      </c>
      <c r="F418" s="4">
        <v>1.0</v>
      </c>
      <c r="I418" s="4">
        <v>1.0</v>
      </c>
    </row>
    <row r="419">
      <c r="A419" s="4"/>
      <c r="B419" s="4" t="s">
        <v>339</v>
      </c>
    </row>
    <row r="420">
      <c r="A420" s="4"/>
      <c r="B420" s="4" t="s">
        <v>340</v>
      </c>
    </row>
    <row r="421">
      <c r="A421" s="4"/>
      <c r="B421" s="4" t="s">
        <v>341</v>
      </c>
    </row>
    <row r="422">
      <c r="A422" s="4"/>
      <c r="B422" s="4" t="s">
        <v>342</v>
      </c>
    </row>
    <row r="423">
      <c r="A423" s="4"/>
      <c r="B423" s="4" t="s">
        <v>343</v>
      </c>
    </row>
    <row r="424">
      <c r="A424" s="4"/>
      <c r="B424" s="4" t="s">
        <v>332</v>
      </c>
      <c r="C424" s="4"/>
      <c r="D424" s="4">
        <v>1.0</v>
      </c>
      <c r="E424" s="4"/>
      <c r="F424" s="4"/>
      <c r="G424" s="4"/>
      <c r="H424" s="4"/>
      <c r="I424" s="4"/>
      <c r="J424" s="4"/>
      <c r="K424" s="4">
        <v>1.0</v>
      </c>
      <c r="L424" s="4"/>
      <c r="M424" s="4"/>
      <c r="O424" s="4"/>
      <c r="T424" s="4"/>
      <c r="Z424" s="4"/>
      <c r="AH424" s="4"/>
    </row>
    <row r="425">
      <c r="A425" s="4"/>
      <c r="B425" s="4" t="s">
        <v>333</v>
      </c>
      <c r="C425" s="4"/>
      <c r="D425" s="4">
        <v>1.0</v>
      </c>
      <c r="E425" s="4"/>
      <c r="F425" s="4"/>
      <c r="G425" s="4"/>
      <c r="H425" s="4"/>
      <c r="I425" s="4"/>
      <c r="J425" s="4"/>
      <c r="K425" s="4">
        <v>1.0</v>
      </c>
      <c r="L425" s="4"/>
      <c r="M425" s="4"/>
      <c r="O425" s="4"/>
      <c r="T425" s="4"/>
      <c r="Z425" s="4"/>
      <c r="AH425" s="4"/>
    </row>
    <row r="426">
      <c r="A426" s="4"/>
      <c r="B426" s="4" t="s">
        <v>934</v>
      </c>
      <c r="C426" s="4"/>
      <c r="D426" s="4"/>
      <c r="E426" s="4"/>
      <c r="F426" s="4"/>
      <c r="G426" s="4"/>
      <c r="H426" s="4"/>
      <c r="I426" s="4"/>
      <c r="J426" s="4">
        <v>1.0</v>
      </c>
      <c r="K426" s="4"/>
      <c r="L426" s="4"/>
      <c r="M426" s="4"/>
      <c r="O426" s="4"/>
      <c r="T426" s="4"/>
      <c r="Z426" s="4"/>
      <c r="AH426" s="4"/>
    </row>
    <row r="427">
      <c r="A427" s="4"/>
      <c r="B427" s="4" t="s">
        <v>644</v>
      </c>
      <c r="C427" s="4">
        <v>1.0</v>
      </c>
      <c r="D427" s="4">
        <v>1.0</v>
      </c>
      <c r="E427" s="4">
        <v>1.0</v>
      </c>
      <c r="F427" s="4">
        <v>1.0</v>
      </c>
      <c r="G427" s="4">
        <v>1.0</v>
      </c>
      <c r="H427" s="4">
        <v>1.0</v>
      </c>
      <c r="I427" s="4">
        <v>1.0</v>
      </c>
      <c r="J427" s="4">
        <v>1.0</v>
      </c>
      <c r="K427" s="4">
        <v>1.0</v>
      </c>
      <c r="L427" s="4">
        <v>1.0</v>
      </c>
      <c r="M427" s="4">
        <v>1.0</v>
      </c>
      <c r="O427" s="4">
        <v>1.0</v>
      </c>
      <c r="T427" s="4">
        <v>1.0</v>
      </c>
      <c r="Z427" s="4">
        <v>1.0</v>
      </c>
      <c r="AH427" s="4">
        <v>1.0</v>
      </c>
    </row>
    <row r="428">
      <c r="A428" s="4"/>
      <c r="B428" s="4" t="s">
        <v>933</v>
      </c>
      <c r="E428" s="4">
        <v>1.0</v>
      </c>
    </row>
    <row r="429">
      <c r="A429" s="4"/>
      <c r="B429" s="4" t="s">
        <v>645</v>
      </c>
    </row>
    <row r="430">
      <c r="A430" s="4"/>
      <c r="B430" s="4" t="s">
        <v>646</v>
      </c>
      <c r="C430" s="4">
        <v>1.0</v>
      </c>
      <c r="E430" s="4">
        <v>1.0</v>
      </c>
      <c r="F430" s="4">
        <v>1.0</v>
      </c>
      <c r="L430" s="4">
        <v>1.0</v>
      </c>
    </row>
    <row r="431">
      <c r="A431" s="4"/>
      <c r="B431" s="4" t="s">
        <v>494</v>
      </c>
      <c r="C431" s="4">
        <v>3.0</v>
      </c>
      <c r="G431" s="4">
        <v>1.0</v>
      </c>
      <c r="I431" s="4">
        <v>1.0</v>
      </c>
      <c r="L431" s="4">
        <v>2.0</v>
      </c>
    </row>
    <row r="432">
      <c r="A432" s="4"/>
      <c r="B432" s="4" t="s">
        <v>495</v>
      </c>
      <c r="C432" s="4">
        <v>1.0</v>
      </c>
      <c r="E432" s="4">
        <v>1.0</v>
      </c>
    </row>
    <row r="433">
      <c r="A433" s="4"/>
      <c r="B433" s="4" t="s">
        <v>237</v>
      </c>
    </row>
    <row r="434">
      <c r="A434" s="4"/>
      <c r="B434" s="4" t="s">
        <v>496</v>
      </c>
      <c r="E434" s="4">
        <v>1.0</v>
      </c>
      <c r="G434" s="4">
        <v>1.0</v>
      </c>
      <c r="H434" s="4">
        <v>1.0</v>
      </c>
      <c r="I434" s="4">
        <v>1.0</v>
      </c>
      <c r="O434" s="4">
        <v>1.0</v>
      </c>
      <c r="Z434" s="4">
        <v>1.0</v>
      </c>
      <c r="AA434" s="4">
        <v>1.0</v>
      </c>
      <c r="AD434" s="4">
        <v>1.0</v>
      </c>
      <c r="AE434" s="4">
        <v>1.0</v>
      </c>
      <c r="AG434" s="4">
        <v>1.0</v>
      </c>
    </row>
    <row r="435">
      <c r="A435" s="4"/>
      <c r="B435" s="4" t="s">
        <v>647</v>
      </c>
    </row>
    <row r="436">
      <c r="A436" s="4"/>
      <c r="B436" s="4" t="s">
        <v>1061</v>
      </c>
    </row>
    <row r="437">
      <c r="A437" s="4"/>
      <c r="B437" s="4" t="s">
        <v>894</v>
      </c>
    </row>
    <row r="438">
      <c r="A438" s="4"/>
      <c r="B438" s="4" t="s">
        <v>935</v>
      </c>
    </row>
    <row r="439">
      <c r="A439" s="4"/>
      <c r="B439" s="4" t="s">
        <v>648</v>
      </c>
      <c r="C439" s="4">
        <v>1.0</v>
      </c>
      <c r="I439" s="4">
        <v>1.0</v>
      </c>
      <c r="K439" s="4">
        <v>1.0</v>
      </c>
      <c r="M439" s="4">
        <v>1.0</v>
      </c>
      <c r="O439" s="4">
        <v>1.0</v>
      </c>
      <c r="T439" s="4">
        <v>1.0</v>
      </c>
    </row>
    <row r="440">
      <c r="A440" s="4"/>
      <c r="B440" s="4" t="s">
        <v>936</v>
      </c>
    </row>
    <row r="441">
      <c r="A441" s="4"/>
      <c r="B441" s="4" t="s">
        <v>736</v>
      </c>
      <c r="E441" s="4">
        <v>1.0</v>
      </c>
    </row>
    <row r="442">
      <c r="A442" s="4"/>
      <c r="B442" s="4" t="s">
        <v>649</v>
      </c>
    </row>
    <row r="443">
      <c r="A443" s="4"/>
      <c r="B443" s="4" t="s">
        <v>1015</v>
      </c>
    </row>
    <row r="444">
      <c r="A444" s="4"/>
      <c r="B444" s="4" t="s">
        <v>1016</v>
      </c>
    </row>
    <row r="445">
      <c r="A445" s="4"/>
      <c r="B445" s="4" t="s">
        <v>1017</v>
      </c>
    </row>
    <row r="446">
      <c r="A446" s="4"/>
      <c r="B446" s="4" t="s">
        <v>1018</v>
      </c>
    </row>
    <row r="447">
      <c r="A447" s="4"/>
      <c r="B447" s="4" t="s">
        <v>1019</v>
      </c>
    </row>
    <row r="448">
      <c r="A448" s="4"/>
      <c r="B448" s="4" t="s">
        <v>824</v>
      </c>
    </row>
    <row r="449">
      <c r="A449" s="4"/>
      <c r="B449" s="4" t="s">
        <v>825</v>
      </c>
      <c r="E449" s="4">
        <v>1.0</v>
      </c>
      <c r="G449" s="4"/>
    </row>
    <row r="450">
      <c r="A450" s="4"/>
      <c r="B450" s="4" t="s">
        <v>839</v>
      </c>
      <c r="G450" s="4">
        <v>1.0</v>
      </c>
    </row>
    <row r="451">
      <c r="A451" s="4"/>
      <c r="B451" s="4" t="s">
        <v>650</v>
      </c>
    </row>
    <row r="452">
      <c r="A452" s="4"/>
      <c r="B452" s="4" t="s">
        <v>651</v>
      </c>
    </row>
    <row r="453">
      <c r="A453" s="4"/>
      <c r="B453" s="4" t="s">
        <v>652</v>
      </c>
    </row>
    <row r="454">
      <c r="A454" s="4"/>
      <c r="B454" s="4" t="s">
        <v>653</v>
      </c>
    </row>
    <row r="455">
      <c r="A455" s="4"/>
      <c r="B455" s="4" t="s">
        <v>497</v>
      </c>
    </row>
    <row r="456">
      <c r="A456" s="4"/>
      <c r="B456" s="4" t="s">
        <v>162</v>
      </c>
      <c r="D456" s="4">
        <v>1.0</v>
      </c>
    </row>
    <row r="457">
      <c r="A457" s="4"/>
      <c r="B457" s="4" t="s">
        <v>163</v>
      </c>
    </row>
    <row r="458">
      <c r="A458" s="4"/>
      <c r="B458" s="4" t="s">
        <v>164</v>
      </c>
    </row>
    <row r="459">
      <c r="A459" s="4"/>
      <c r="B459" s="4" t="s">
        <v>165</v>
      </c>
    </row>
    <row r="460">
      <c r="A460" s="4"/>
      <c r="B460" s="4" t="s">
        <v>166</v>
      </c>
    </row>
    <row r="461">
      <c r="A461" s="4"/>
      <c r="B461" s="4" t="s">
        <v>167</v>
      </c>
    </row>
    <row r="462">
      <c r="A462" s="4"/>
      <c r="B462" s="4" t="s">
        <v>168</v>
      </c>
      <c r="D462" s="4">
        <v>1.0</v>
      </c>
    </row>
    <row r="463">
      <c r="A463" s="4"/>
      <c r="B463" s="4" t="s">
        <v>169</v>
      </c>
    </row>
    <row r="464">
      <c r="A464" s="4"/>
      <c r="B464" s="4" t="s">
        <v>170</v>
      </c>
    </row>
    <row r="465">
      <c r="A465" s="4"/>
      <c r="B465" s="4" t="s">
        <v>171</v>
      </c>
      <c r="D465" s="4">
        <v>1.0</v>
      </c>
    </row>
    <row r="466">
      <c r="A466" s="4"/>
      <c r="B466" s="4" t="s">
        <v>172</v>
      </c>
      <c r="D466" s="4">
        <v>1.0</v>
      </c>
    </row>
    <row r="467">
      <c r="A467" s="4"/>
      <c r="B467" s="4" t="s">
        <v>173</v>
      </c>
      <c r="D467" s="4">
        <v>1.0</v>
      </c>
    </row>
    <row r="468">
      <c r="A468" s="4"/>
      <c r="B468" s="4" t="s">
        <v>174</v>
      </c>
    </row>
    <row r="469">
      <c r="A469" s="4"/>
      <c r="B469" s="4" t="s">
        <v>175</v>
      </c>
    </row>
    <row r="470">
      <c r="A470" s="4"/>
      <c r="B470" s="4" t="s">
        <v>176</v>
      </c>
      <c r="D470" s="4">
        <v>1.0</v>
      </c>
    </row>
    <row r="471">
      <c r="A471" s="4"/>
      <c r="B471" s="4" t="s">
        <v>654</v>
      </c>
      <c r="C471" s="4">
        <v>3.0</v>
      </c>
      <c r="D471" s="4">
        <v>1.0</v>
      </c>
      <c r="G471" s="4">
        <v>1.0</v>
      </c>
      <c r="I471" s="4">
        <v>1.0</v>
      </c>
      <c r="L471" s="4">
        <v>5.0</v>
      </c>
      <c r="O471" s="4">
        <v>1.0</v>
      </c>
      <c r="Q471" s="4">
        <v>1.0</v>
      </c>
      <c r="AF471" s="4">
        <v>1.0</v>
      </c>
    </row>
    <row r="472">
      <c r="A472" s="4"/>
      <c r="B472" s="4" t="s">
        <v>917</v>
      </c>
      <c r="F472" s="4">
        <v>1.0</v>
      </c>
      <c r="I472" s="4">
        <v>1.0</v>
      </c>
    </row>
    <row r="473">
      <c r="A473" s="4"/>
      <c r="B473" s="4" t="s">
        <v>918</v>
      </c>
      <c r="F473" s="4">
        <v>1.0</v>
      </c>
      <c r="I473" s="4">
        <v>1.0</v>
      </c>
    </row>
    <row r="474">
      <c r="A474" s="4"/>
      <c r="B474" s="4" t="s">
        <v>655</v>
      </c>
    </row>
    <row r="475">
      <c r="A475" s="4"/>
      <c r="B475" s="4" t="s">
        <v>738</v>
      </c>
    </row>
    <row r="476">
      <c r="A476" s="4"/>
      <c r="B476" s="4" t="s">
        <v>739</v>
      </c>
    </row>
    <row r="477">
      <c r="A477" s="4"/>
      <c r="B477" s="4" t="s">
        <v>912</v>
      </c>
      <c r="D477" s="4">
        <v>1.0</v>
      </c>
      <c r="K477" s="4">
        <v>1.0</v>
      </c>
    </row>
    <row r="478">
      <c r="A478" s="4"/>
      <c r="B478" s="4" t="s">
        <v>913</v>
      </c>
      <c r="D478" s="4">
        <v>1.0</v>
      </c>
      <c r="K478" s="4">
        <v>1.0</v>
      </c>
    </row>
    <row r="479">
      <c r="A479" s="4"/>
      <c r="B479" s="4" t="s">
        <v>742</v>
      </c>
    </row>
    <row r="480">
      <c r="A480" s="4"/>
      <c r="B480" s="4" t="s">
        <v>743</v>
      </c>
    </row>
    <row r="481">
      <c r="A481" s="4"/>
      <c r="B481" s="4" t="s">
        <v>746</v>
      </c>
      <c r="E481" s="4">
        <v>1.0</v>
      </c>
    </row>
    <row r="482">
      <c r="A482" s="4"/>
      <c r="B482" s="4" t="s">
        <v>747</v>
      </c>
    </row>
    <row r="483">
      <c r="A483" s="4"/>
      <c r="B483" s="4" t="s">
        <v>744</v>
      </c>
      <c r="E483" s="4">
        <v>1.0</v>
      </c>
    </row>
    <row r="484">
      <c r="A484" s="4"/>
      <c r="B484" s="4" t="s">
        <v>748</v>
      </c>
      <c r="E484" s="4"/>
      <c r="L484" s="4">
        <v>1.0</v>
      </c>
    </row>
    <row r="485">
      <c r="A485" s="4"/>
      <c r="B485" s="4" t="s">
        <v>745</v>
      </c>
      <c r="E485" s="4">
        <v>1.0</v>
      </c>
    </row>
    <row r="486">
      <c r="A486" s="4"/>
      <c r="B486" s="4" t="s">
        <v>749</v>
      </c>
      <c r="E486" s="4">
        <v>2.0</v>
      </c>
    </row>
    <row r="487">
      <c r="A487" s="4"/>
      <c r="B487" s="4" t="s">
        <v>750</v>
      </c>
    </row>
    <row r="488">
      <c r="A488" s="4"/>
      <c r="B488" s="4" t="s">
        <v>751</v>
      </c>
    </row>
    <row r="489">
      <c r="A489" s="4"/>
      <c r="B489" s="4" t="s">
        <v>498</v>
      </c>
      <c r="E489" s="4">
        <v>1.0</v>
      </c>
      <c r="F489" s="4">
        <v>1.0</v>
      </c>
      <c r="Q489" s="4">
        <v>1.0</v>
      </c>
      <c r="V489" s="4">
        <v>1.0</v>
      </c>
    </row>
    <row r="490">
      <c r="A490" s="4"/>
      <c r="B490" s="4" t="s">
        <v>499</v>
      </c>
      <c r="L490" s="4">
        <v>1.0</v>
      </c>
      <c r="O490" s="4">
        <v>1.0</v>
      </c>
    </row>
    <row r="491">
      <c r="A491" s="4"/>
      <c r="B491" s="4" t="s">
        <v>500</v>
      </c>
      <c r="C491" s="4">
        <v>1.0</v>
      </c>
      <c r="I491" s="4">
        <v>1.0</v>
      </c>
      <c r="Q491" s="4">
        <v>2.0</v>
      </c>
    </row>
    <row r="492">
      <c r="A492" s="4"/>
      <c r="B492" s="4" t="s">
        <v>501</v>
      </c>
      <c r="Q492" s="4">
        <v>1.0</v>
      </c>
    </row>
    <row r="493">
      <c r="A493" s="4"/>
      <c r="B493" s="4" t="s">
        <v>776</v>
      </c>
      <c r="V493" s="4">
        <v>2.0</v>
      </c>
    </row>
    <row r="494">
      <c r="A494" s="4"/>
      <c r="B494" s="4" t="s">
        <v>777</v>
      </c>
      <c r="V494" s="4">
        <v>1.0</v>
      </c>
    </row>
    <row r="495">
      <c r="A495" s="4"/>
      <c r="B495" s="4" t="s">
        <v>778</v>
      </c>
      <c r="V495" s="4">
        <v>1.0</v>
      </c>
    </row>
    <row r="496">
      <c r="A496" s="4"/>
      <c r="B496" s="4" t="s">
        <v>775</v>
      </c>
      <c r="V496" s="4">
        <v>1.0</v>
      </c>
    </row>
    <row r="497">
      <c r="A497" s="4"/>
      <c r="B497" s="4" t="s">
        <v>779</v>
      </c>
      <c r="V497" s="4">
        <v>1.0</v>
      </c>
    </row>
    <row r="498">
      <c r="A498" s="4"/>
      <c r="B498" s="4" t="s">
        <v>780</v>
      </c>
      <c r="V498" s="4">
        <v>3.0</v>
      </c>
    </row>
    <row r="499">
      <c r="A499" s="4"/>
      <c r="B499" s="4" t="s">
        <v>782</v>
      </c>
      <c r="V499" s="4">
        <v>1.0</v>
      </c>
    </row>
    <row r="500">
      <c r="A500" s="4"/>
      <c r="B500" s="4" t="s">
        <v>781</v>
      </c>
      <c r="V500" s="4">
        <v>1.0</v>
      </c>
    </row>
    <row r="501">
      <c r="A501" s="4"/>
      <c r="B501" s="4" t="s">
        <v>774</v>
      </c>
      <c r="V501" s="4">
        <v>1.0</v>
      </c>
    </row>
    <row r="502">
      <c r="A502" s="4"/>
      <c r="B502" s="4" t="s">
        <v>783</v>
      </c>
      <c r="V502" s="4">
        <v>3.0</v>
      </c>
    </row>
    <row r="503">
      <c r="A503" s="4"/>
      <c r="B503" s="4" t="s">
        <v>502</v>
      </c>
    </row>
    <row r="504">
      <c r="A504" s="4"/>
      <c r="B504" s="4" t="s">
        <v>503</v>
      </c>
    </row>
    <row r="505">
      <c r="A505" s="4"/>
      <c r="B505" s="4" t="s">
        <v>320</v>
      </c>
    </row>
    <row r="506">
      <c r="A506" s="4"/>
      <c r="B506" s="4" t="s">
        <v>321</v>
      </c>
    </row>
    <row r="507">
      <c r="A507" s="4"/>
      <c r="B507" s="4" t="s">
        <v>816</v>
      </c>
      <c r="D507" s="4"/>
      <c r="G507" s="4"/>
      <c r="I507" s="4">
        <v>1.0</v>
      </c>
      <c r="K507" s="4"/>
    </row>
    <row r="508">
      <c r="A508" s="4"/>
      <c r="B508" s="4" t="s">
        <v>817</v>
      </c>
      <c r="D508" s="4"/>
      <c r="G508" s="4"/>
      <c r="I508" s="4">
        <v>1.0</v>
      </c>
      <c r="K508" s="4"/>
    </row>
    <row r="509">
      <c r="A509" s="4"/>
      <c r="B509" s="4" t="s">
        <v>818</v>
      </c>
      <c r="D509" s="4"/>
      <c r="G509" s="4"/>
      <c r="I509" s="4">
        <v>1.0</v>
      </c>
      <c r="K509" s="4"/>
    </row>
    <row r="510">
      <c r="A510" s="4"/>
      <c r="B510" s="4" t="s">
        <v>656</v>
      </c>
      <c r="C510" s="4">
        <v>2.0</v>
      </c>
      <c r="D510" s="4">
        <v>1.0</v>
      </c>
      <c r="E510" s="4">
        <v>2.0</v>
      </c>
      <c r="G510" s="4">
        <v>1.0</v>
      </c>
      <c r="I510" s="4">
        <v>1.0</v>
      </c>
      <c r="K510" s="4">
        <v>1.0</v>
      </c>
      <c r="L510" s="4">
        <v>1.0</v>
      </c>
      <c r="Q510" s="4">
        <v>2.0</v>
      </c>
    </row>
    <row r="511">
      <c r="A511" s="4"/>
      <c r="B511" s="4" t="s">
        <v>504</v>
      </c>
      <c r="C511" s="4">
        <v>1.0</v>
      </c>
      <c r="D511" s="4">
        <v>2.0</v>
      </c>
      <c r="F511" s="4">
        <v>3.0</v>
      </c>
      <c r="G511" s="4">
        <v>1.0</v>
      </c>
      <c r="I511" s="4">
        <v>1.0</v>
      </c>
      <c r="L511" s="4">
        <v>1.0</v>
      </c>
      <c r="M511" s="4">
        <v>2.0</v>
      </c>
      <c r="O511" s="4">
        <v>3.0</v>
      </c>
    </row>
    <row r="512">
      <c r="A512" s="4"/>
      <c r="B512" s="4" t="s">
        <v>505</v>
      </c>
      <c r="C512" s="4">
        <v>2.0</v>
      </c>
      <c r="E512" s="4">
        <v>1.0</v>
      </c>
      <c r="F512" s="4">
        <v>1.0</v>
      </c>
      <c r="G512" s="4">
        <v>1.0</v>
      </c>
      <c r="M512" s="4">
        <v>2.0</v>
      </c>
      <c r="N512" s="4"/>
      <c r="O512" s="4">
        <v>1.0</v>
      </c>
      <c r="R512" s="4">
        <v>1.0</v>
      </c>
      <c r="X512" s="4">
        <v>1.0</v>
      </c>
    </row>
    <row r="513">
      <c r="A513" s="4"/>
      <c r="B513" s="4" t="s">
        <v>506</v>
      </c>
      <c r="C513" s="4">
        <v>1.0</v>
      </c>
      <c r="E513" s="4">
        <v>1.0</v>
      </c>
      <c r="L513" s="4">
        <v>1.0</v>
      </c>
      <c r="N513" s="4">
        <v>2.0</v>
      </c>
    </row>
    <row r="514">
      <c r="A514" s="4"/>
      <c r="B514" s="4" t="s">
        <v>657</v>
      </c>
    </row>
    <row r="515">
      <c r="A515" s="4"/>
      <c r="B515" s="4" t="s">
        <v>658</v>
      </c>
      <c r="C515" s="4">
        <v>2.0</v>
      </c>
      <c r="I515" s="4">
        <v>2.0</v>
      </c>
      <c r="K515" s="4">
        <v>1.0</v>
      </c>
      <c r="M515" s="4">
        <v>1.0</v>
      </c>
      <c r="O515" s="4">
        <v>2.0</v>
      </c>
      <c r="T515" s="4">
        <v>1.0</v>
      </c>
    </row>
    <row r="516">
      <c r="A516" s="4"/>
      <c r="B516" s="4" t="s">
        <v>659</v>
      </c>
    </row>
    <row r="517">
      <c r="A517" s="4"/>
      <c r="B517" s="4" t="s">
        <v>660</v>
      </c>
      <c r="C517" s="4">
        <v>1.0</v>
      </c>
      <c r="I517" s="4">
        <v>1.0</v>
      </c>
    </row>
    <row r="518">
      <c r="A518" s="4"/>
      <c r="B518" s="4" t="s">
        <v>661</v>
      </c>
    </row>
    <row r="519">
      <c r="A519" s="4"/>
      <c r="B519" s="4" t="s">
        <v>662</v>
      </c>
      <c r="G519" s="4">
        <v>1.0</v>
      </c>
    </row>
    <row r="520">
      <c r="A520" s="4"/>
      <c r="B520" s="4" t="s">
        <v>820</v>
      </c>
    </row>
    <row r="521">
      <c r="A521" s="4"/>
      <c r="B521" s="4" t="s">
        <v>322</v>
      </c>
      <c r="D521" s="4">
        <v>1.0</v>
      </c>
      <c r="K521" s="4">
        <v>1.0</v>
      </c>
      <c r="T521" s="4">
        <v>1.0</v>
      </c>
    </row>
    <row r="522">
      <c r="A522" s="4"/>
      <c r="B522" s="4" t="s">
        <v>507</v>
      </c>
    </row>
    <row r="523">
      <c r="A523" s="4"/>
      <c r="B523" s="4" t="s">
        <v>663</v>
      </c>
      <c r="F523" s="4">
        <v>1.0</v>
      </c>
    </row>
    <row r="524">
      <c r="A524" s="4"/>
      <c r="B524" s="4" t="s">
        <v>384</v>
      </c>
    </row>
    <row r="525">
      <c r="A525" s="4"/>
      <c r="B525" s="4" t="s">
        <v>385</v>
      </c>
    </row>
    <row r="526">
      <c r="A526" s="4"/>
      <c r="B526" s="4" t="s">
        <v>386</v>
      </c>
    </row>
    <row r="527">
      <c r="A527" s="4"/>
      <c r="B527" s="4" t="s">
        <v>387</v>
      </c>
      <c r="J527" s="4">
        <v>1.0</v>
      </c>
      <c r="R527" s="4">
        <v>1.0</v>
      </c>
    </row>
    <row r="528">
      <c r="A528" s="4"/>
      <c r="B528" s="4" t="s">
        <v>388</v>
      </c>
    </row>
    <row r="529">
      <c r="A529" s="4"/>
      <c r="B529" s="4" t="s">
        <v>389</v>
      </c>
    </row>
    <row r="530">
      <c r="A530" s="4"/>
      <c r="B530" s="4" t="s">
        <v>390</v>
      </c>
      <c r="F530" s="4">
        <v>1.0</v>
      </c>
    </row>
    <row r="531">
      <c r="A531" s="4"/>
      <c r="B531" s="4" t="s">
        <v>391</v>
      </c>
    </row>
    <row r="532">
      <c r="A532" s="4"/>
      <c r="B532" s="4" t="s">
        <v>392</v>
      </c>
    </row>
    <row r="533">
      <c r="A533" s="4"/>
      <c r="B533" s="4" t="s">
        <v>393</v>
      </c>
      <c r="R533" s="4">
        <v>1.0</v>
      </c>
    </row>
    <row r="534">
      <c r="A534" s="4"/>
      <c r="B534" s="4" t="s">
        <v>394</v>
      </c>
    </row>
    <row r="535">
      <c r="A535" s="4"/>
      <c r="B535" s="4" t="s">
        <v>395</v>
      </c>
    </row>
    <row r="536">
      <c r="A536" s="4"/>
      <c r="B536" s="4" t="s">
        <v>396</v>
      </c>
    </row>
    <row r="537">
      <c r="A537" s="4"/>
      <c r="B537" s="4" t="s">
        <v>397</v>
      </c>
    </row>
    <row r="538">
      <c r="A538" s="4"/>
      <c r="B538" s="4" t="s">
        <v>398</v>
      </c>
      <c r="F538" s="4">
        <v>1.0</v>
      </c>
    </row>
    <row r="539">
      <c r="A539" s="4"/>
      <c r="B539" s="4" t="s">
        <v>399</v>
      </c>
    </row>
    <row r="540">
      <c r="A540" s="4"/>
      <c r="B540" s="4" t="s">
        <v>400</v>
      </c>
      <c r="J540" s="4">
        <v>1.0</v>
      </c>
      <c r="R540" s="4">
        <v>1.0</v>
      </c>
    </row>
    <row r="541">
      <c r="A541" s="4"/>
      <c r="B541" s="4" t="s">
        <v>401</v>
      </c>
    </row>
    <row r="542">
      <c r="A542" s="4"/>
      <c r="B542" s="4" t="s">
        <v>402</v>
      </c>
    </row>
    <row r="543">
      <c r="A543" s="4"/>
      <c r="B543" s="4" t="s">
        <v>403</v>
      </c>
      <c r="AA543" s="4">
        <v>1.0</v>
      </c>
    </row>
    <row r="544">
      <c r="A544" s="4"/>
      <c r="B544" s="4" t="s">
        <v>404</v>
      </c>
    </row>
    <row r="545">
      <c r="A545" s="4"/>
      <c r="B545" s="4" t="s">
        <v>405</v>
      </c>
    </row>
    <row r="546">
      <c r="A546" s="4"/>
      <c r="B546" s="4" t="s">
        <v>406</v>
      </c>
    </row>
    <row r="547">
      <c r="A547" s="4"/>
      <c r="B547" s="4" t="s">
        <v>407</v>
      </c>
      <c r="F547" s="4">
        <v>1.0</v>
      </c>
    </row>
    <row r="548">
      <c r="A548" s="4"/>
      <c r="B548" s="4" t="s">
        <v>1279</v>
      </c>
    </row>
    <row r="549">
      <c r="A549" s="4"/>
      <c r="B549" s="4" t="s">
        <v>1280</v>
      </c>
    </row>
    <row r="550">
      <c r="A550" s="4"/>
      <c r="B550" s="4" t="s">
        <v>1281</v>
      </c>
    </row>
    <row r="551">
      <c r="A551" s="4"/>
      <c r="B551" s="4" t="s">
        <v>1282</v>
      </c>
    </row>
    <row r="552">
      <c r="A552" s="4"/>
      <c r="B552" s="4" t="s">
        <v>1283</v>
      </c>
    </row>
    <row r="553">
      <c r="A553" s="4"/>
      <c r="B553" s="4" t="s">
        <v>1284</v>
      </c>
      <c r="L553" s="4">
        <v>1.0</v>
      </c>
    </row>
    <row r="554">
      <c r="A554" s="4"/>
      <c r="B554" s="4" t="s">
        <v>1285</v>
      </c>
    </row>
    <row r="555">
      <c r="A555" s="4"/>
      <c r="B555" s="4" t="s">
        <v>1286</v>
      </c>
    </row>
    <row r="556">
      <c r="A556" s="4"/>
      <c r="B556" s="4" t="s">
        <v>1287</v>
      </c>
    </row>
    <row r="557">
      <c r="A557" s="4"/>
      <c r="B557" s="4" t="s">
        <v>1288</v>
      </c>
    </row>
    <row r="558">
      <c r="A558" s="4"/>
      <c r="B558" s="4" t="s">
        <v>1289</v>
      </c>
    </row>
    <row r="559">
      <c r="A559" s="4"/>
      <c r="B559" s="4" t="s">
        <v>1290</v>
      </c>
    </row>
    <row r="560">
      <c r="A560" s="4"/>
      <c r="B560" s="4" t="s">
        <v>1291</v>
      </c>
    </row>
    <row r="561">
      <c r="A561" s="4"/>
      <c r="B561" s="4" t="s">
        <v>1292</v>
      </c>
    </row>
    <row r="562">
      <c r="A562" s="4"/>
      <c r="B562" s="4" t="s">
        <v>1025</v>
      </c>
    </row>
    <row r="563">
      <c r="A563" s="4"/>
      <c r="B563" s="4" t="s">
        <v>1026</v>
      </c>
    </row>
    <row r="564">
      <c r="A564" s="4"/>
      <c r="B564" s="4" t="s">
        <v>1027</v>
      </c>
    </row>
    <row r="565">
      <c r="A565" s="4"/>
      <c r="B565" s="4" t="s">
        <v>1028</v>
      </c>
    </row>
    <row r="566">
      <c r="A566" s="4"/>
      <c r="B566" s="4" t="s">
        <v>1029</v>
      </c>
    </row>
    <row r="567">
      <c r="A567" s="4"/>
      <c r="B567" s="4" t="s">
        <v>1030</v>
      </c>
    </row>
    <row r="568">
      <c r="A568" s="4"/>
      <c r="B568" s="4" t="s">
        <v>1031</v>
      </c>
    </row>
    <row r="569">
      <c r="A569" s="4"/>
      <c r="B569" s="4" t="s">
        <v>1032</v>
      </c>
    </row>
    <row r="570">
      <c r="A570" s="4"/>
      <c r="B570" s="4" t="s">
        <v>1033</v>
      </c>
      <c r="G570" s="4">
        <v>1.0</v>
      </c>
    </row>
    <row r="571">
      <c r="A571" s="4"/>
      <c r="B571" s="4" t="s">
        <v>1034</v>
      </c>
    </row>
    <row r="572">
      <c r="A572" s="4"/>
      <c r="B572" s="4" t="s">
        <v>1035</v>
      </c>
    </row>
    <row r="573">
      <c r="A573" s="4"/>
      <c r="B573" s="4" t="s">
        <v>1036</v>
      </c>
    </row>
    <row r="574">
      <c r="A574" s="4"/>
      <c r="B574" s="4" t="s">
        <v>1038</v>
      </c>
      <c r="F574" s="4">
        <v>1.0</v>
      </c>
    </row>
    <row r="575">
      <c r="A575" s="4"/>
      <c r="B575" s="4" t="s">
        <v>1039</v>
      </c>
    </row>
    <row r="576">
      <c r="A576" s="4"/>
      <c r="B576" s="4" t="s">
        <v>664</v>
      </c>
      <c r="G576" s="4">
        <v>1.0</v>
      </c>
      <c r="I576" s="4">
        <v>1.0</v>
      </c>
    </row>
    <row r="577">
      <c r="A577" s="4"/>
      <c r="B577" s="4" t="s">
        <v>666</v>
      </c>
      <c r="K577" s="4">
        <v>1.0</v>
      </c>
    </row>
    <row r="578">
      <c r="A578" s="4"/>
      <c r="B578" s="4" t="s">
        <v>665</v>
      </c>
      <c r="K578" s="4">
        <v>1.0</v>
      </c>
    </row>
    <row r="579">
      <c r="A579" s="4"/>
      <c r="B579" s="4" t="s">
        <v>267</v>
      </c>
      <c r="E579" s="4">
        <v>1.0</v>
      </c>
    </row>
    <row r="580">
      <c r="A580" s="4"/>
      <c r="B580" s="4" t="s">
        <v>268</v>
      </c>
    </row>
    <row r="581">
      <c r="A581" s="4"/>
      <c r="B581" s="4" t="s">
        <v>667</v>
      </c>
    </row>
    <row r="582">
      <c r="A582" s="4"/>
      <c r="B582" s="4" t="s">
        <v>994</v>
      </c>
      <c r="AF582" s="4">
        <v>1.0</v>
      </c>
    </row>
    <row r="583">
      <c r="A583" s="4"/>
      <c r="B583" s="4" t="s">
        <v>995</v>
      </c>
      <c r="AF583" s="4">
        <v>1.0</v>
      </c>
    </row>
    <row r="584">
      <c r="A584" s="4"/>
      <c r="B584" s="4" t="s">
        <v>996</v>
      </c>
      <c r="G584" s="4">
        <v>1.0</v>
      </c>
    </row>
    <row r="585">
      <c r="A585" s="4"/>
      <c r="B585" s="4" t="s">
        <v>367</v>
      </c>
    </row>
    <row r="586">
      <c r="A586" s="4"/>
      <c r="B586" s="4" t="s">
        <v>368</v>
      </c>
    </row>
    <row r="587">
      <c r="A587" s="4"/>
      <c r="B587" s="4" t="s">
        <v>369</v>
      </c>
    </row>
    <row r="588">
      <c r="A588" s="4"/>
      <c r="B588" s="4" t="s">
        <v>370</v>
      </c>
    </row>
    <row r="589">
      <c r="A589" s="4"/>
      <c r="B589" s="4" t="s">
        <v>371</v>
      </c>
    </row>
    <row r="590">
      <c r="A590" s="4"/>
      <c r="B590" s="4" t="s">
        <v>372</v>
      </c>
    </row>
    <row r="591">
      <c r="A591" s="4"/>
      <c r="B591" s="4" t="s">
        <v>373</v>
      </c>
    </row>
    <row r="592">
      <c r="A592" s="4"/>
      <c r="B592" s="4" t="s">
        <v>374</v>
      </c>
    </row>
    <row r="593">
      <c r="A593" s="4"/>
      <c r="B593" s="4" t="s">
        <v>375</v>
      </c>
    </row>
    <row r="594">
      <c r="A594" s="4"/>
      <c r="B594" s="4" t="s">
        <v>668</v>
      </c>
    </row>
    <row r="595">
      <c r="A595" s="4"/>
      <c r="B595" s="4" t="s">
        <v>1020</v>
      </c>
      <c r="C595" s="4"/>
      <c r="D595" s="4">
        <v>1.0</v>
      </c>
      <c r="F595" s="4">
        <v>2.0</v>
      </c>
      <c r="K595" s="4">
        <v>2.0</v>
      </c>
      <c r="L595" s="4"/>
      <c r="V595" s="4"/>
    </row>
    <row r="596">
      <c r="A596" s="4"/>
      <c r="B596" s="4" t="s">
        <v>509</v>
      </c>
      <c r="C596" s="4">
        <v>2.0</v>
      </c>
      <c r="L596" s="4">
        <v>2.0</v>
      </c>
      <c r="V596" s="4">
        <v>1.0</v>
      </c>
    </row>
    <row r="597">
      <c r="A597" s="4"/>
      <c r="B597" s="4" t="s">
        <v>1076</v>
      </c>
    </row>
    <row r="598">
      <c r="A598" s="4"/>
      <c r="B598" s="4" t="s">
        <v>1077</v>
      </c>
      <c r="D598" s="4">
        <v>1.0</v>
      </c>
    </row>
    <row r="599">
      <c r="A599" s="4"/>
      <c r="B599" s="4" t="s">
        <v>1078</v>
      </c>
      <c r="D599" s="4">
        <v>1.0</v>
      </c>
    </row>
    <row r="600">
      <c r="A600" s="4"/>
      <c r="B600" s="4" t="s">
        <v>1050</v>
      </c>
    </row>
    <row r="601">
      <c r="A601" s="4"/>
      <c r="B601" s="4" t="s">
        <v>1051</v>
      </c>
      <c r="N601" s="4"/>
      <c r="R601" s="4">
        <v>1.0</v>
      </c>
    </row>
    <row r="602">
      <c r="A602" s="4"/>
      <c r="B602" s="4" t="s">
        <v>125</v>
      </c>
      <c r="N602" s="4">
        <v>1.0</v>
      </c>
    </row>
    <row r="603">
      <c r="A603" s="4"/>
      <c r="B603" s="4" t="s">
        <v>840</v>
      </c>
    </row>
    <row r="604">
      <c r="A604" s="4"/>
      <c r="B604" s="4" t="s">
        <v>841</v>
      </c>
    </row>
    <row r="605">
      <c r="A605" s="4"/>
      <c r="B605" s="4" t="s">
        <v>842</v>
      </c>
    </row>
    <row r="606">
      <c r="A606" s="4"/>
      <c r="B606" s="4" t="s">
        <v>843</v>
      </c>
    </row>
    <row r="607">
      <c r="A607" s="4"/>
      <c r="B607" s="4" t="s">
        <v>844</v>
      </c>
    </row>
    <row r="608">
      <c r="A608" s="4"/>
      <c r="B608" s="4" t="s">
        <v>845</v>
      </c>
    </row>
    <row r="609">
      <c r="A609" s="4"/>
      <c r="B609" s="4" t="s">
        <v>846</v>
      </c>
      <c r="C609" s="4">
        <v>1.0</v>
      </c>
      <c r="E609" s="4">
        <v>1.0</v>
      </c>
      <c r="Q609" s="4">
        <v>1.0</v>
      </c>
    </row>
    <row r="610">
      <c r="A610" s="4"/>
      <c r="B610" s="4" t="s">
        <v>847</v>
      </c>
      <c r="C610" s="4">
        <v>1.0</v>
      </c>
    </row>
    <row r="611">
      <c r="A611" s="4"/>
      <c r="B611" s="4" t="s">
        <v>848</v>
      </c>
    </row>
    <row r="612">
      <c r="A612" s="4"/>
      <c r="B612" s="4" t="s">
        <v>849</v>
      </c>
    </row>
    <row r="613">
      <c r="A613" s="4"/>
      <c r="B613" s="4" t="s">
        <v>850</v>
      </c>
    </row>
    <row r="614">
      <c r="A614" s="4"/>
      <c r="B614" s="4" t="s">
        <v>851</v>
      </c>
    </row>
    <row r="615">
      <c r="A615" s="4"/>
      <c r="B615" s="4" t="s">
        <v>510</v>
      </c>
      <c r="G615" s="4">
        <v>1.0</v>
      </c>
    </row>
    <row r="616">
      <c r="A616" s="4"/>
      <c r="B616" s="4" t="s">
        <v>511</v>
      </c>
    </row>
    <row r="617">
      <c r="A617" s="4"/>
      <c r="B617" s="4" t="s">
        <v>512</v>
      </c>
      <c r="I617" s="4">
        <v>3.0</v>
      </c>
      <c r="R617" s="4">
        <v>1.0</v>
      </c>
    </row>
    <row r="618">
      <c r="A618" s="4"/>
      <c r="B618" s="4" t="s">
        <v>513</v>
      </c>
      <c r="H618" s="4">
        <v>1.0</v>
      </c>
    </row>
    <row r="619">
      <c r="A619" s="4"/>
      <c r="B619" s="4" t="s">
        <v>514</v>
      </c>
      <c r="C619" s="4">
        <v>1.0</v>
      </c>
      <c r="G619" s="4">
        <v>1.0</v>
      </c>
      <c r="H619" s="4">
        <v>1.0</v>
      </c>
      <c r="I619" s="4">
        <v>1.0</v>
      </c>
      <c r="U619" s="4">
        <v>1.0</v>
      </c>
    </row>
    <row r="620">
      <c r="A620" s="4"/>
      <c r="B620" s="4" t="s">
        <v>670</v>
      </c>
      <c r="C620" s="4">
        <v>1.0</v>
      </c>
      <c r="E620" s="4">
        <v>1.0</v>
      </c>
      <c r="F620" s="4">
        <v>1.0</v>
      </c>
      <c r="I620" s="4">
        <v>1.0</v>
      </c>
    </row>
    <row r="621">
      <c r="A621" s="4"/>
      <c r="B621" s="4" t="s">
        <v>515</v>
      </c>
    </row>
    <row r="622">
      <c r="A622" s="4"/>
      <c r="B622" s="4" t="s">
        <v>517</v>
      </c>
    </row>
    <row r="623">
      <c r="A623" s="4"/>
      <c r="B623" s="4" t="s">
        <v>516</v>
      </c>
      <c r="G623" s="4">
        <v>1.0</v>
      </c>
      <c r="Z623" s="4">
        <v>3.0</v>
      </c>
    </row>
    <row r="624">
      <c r="A624" s="4"/>
      <c r="B624" s="4" t="s">
        <v>671</v>
      </c>
    </row>
    <row r="625">
      <c r="A625" s="4"/>
      <c r="B625" s="4" t="s">
        <v>672</v>
      </c>
    </row>
    <row r="626">
      <c r="A626" s="4"/>
      <c r="B626" s="4" t="s">
        <v>997</v>
      </c>
      <c r="D626" s="4">
        <v>1.0</v>
      </c>
      <c r="G626" s="4">
        <v>1.0</v>
      </c>
    </row>
    <row r="627">
      <c r="A627" s="4"/>
      <c r="B627" s="4" t="s">
        <v>518</v>
      </c>
    </row>
    <row r="628">
      <c r="A628" s="4"/>
      <c r="B628" s="4" t="s">
        <v>877</v>
      </c>
    </row>
    <row r="629">
      <c r="A629" s="4"/>
      <c r="B629" s="4" t="s">
        <v>752</v>
      </c>
      <c r="L629" s="4">
        <v>1.0</v>
      </c>
    </row>
    <row r="630">
      <c r="A630" s="4"/>
      <c r="B630" s="4" t="s">
        <v>753</v>
      </c>
    </row>
    <row r="631">
      <c r="A631" s="4"/>
      <c r="B631" s="4" t="s">
        <v>754</v>
      </c>
    </row>
    <row r="632">
      <c r="A632" s="4"/>
      <c r="B632" s="4" t="s">
        <v>858</v>
      </c>
      <c r="D632" s="4">
        <v>1.0</v>
      </c>
    </row>
    <row r="633">
      <c r="A633" s="4"/>
      <c r="B633" s="4" t="s">
        <v>859</v>
      </c>
      <c r="D633" s="4">
        <v>1.0</v>
      </c>
    </row>
    <row r="634">
      <c r="A634" s="4"/>
      <c r="B634" s="4" t="s">
        <v>860</v>
      </c>
      <c r="D634" s="4">
        <v>1.0</v>
      </c>
    </row>
    <row r="635">
      <c r="A635" s="4"/>
      <c r="B635" s="4" t="s">
        <v>856</v>
      </c>
      <c r="D635" s="4">
        <v>1.0</v>
      </c>
    </row>
    <row r="636">
      <c r="A636" s="4"/>
      <c r="B636" s="4" t="s">
        <v>857</v>
      </c>
      <c r="D636" s="4">
        <v>1.0</v>
      </c>
    </row>
    <row r="637">
      <c r="A637" s="4"/>
      <c r="B637" s="4" t="s">
        <v>852</v>
      </c>
    </row>
    <row r="638">
      <c r="A638" s="4"/>
      <c r="B638" s="4" t="s">
        <v>673</v>
      </c>
    </row>
    <row r="639">
      <c r="A639" s="4"/>
      <c r="B639" s="4" t="s">
        <v>223</v>
      </c>
    </row>
    <row r="640">
      <c r="A640" s="4"/>
      <c r="B640" s="4" t="s">
        <v>937</v>
      </c>
    </row>
    <row r="641">
      <c r="A641" s="4"/>
      <c r="B641" s="4" t="s">
        <v>870</v>
      </c>
    </row>
    <row r="642">
      <c r="A642" s="4"/>
      <c r="B642" s="4" t="s">
        <v>871</v>
      </c>
    </row>
    <row r="643">
      <c r="A643" s="4"/>
      <c r="B643" s="4" t="s">
        <v>1293</v>
      </c>
    </row>
    <row r="644">
      <c r="A644" s="4"/>
      <c r="B644" s="4" t="s">
        <v>1294</v>
      </c>
    </row>
    <row r="645">
      <c r="A645" s="4"/>
      <c r="B645" s="4" t="s">
        <v>1295</v>
      </c>
    </row>
    <row r="646">
      <c r="A646" s="4"/>
      <c r="B646" s="4" t="s">
        <v>1296</v>
      </c>
    </row>
    <row r="647">
      <c r="A647" s="4"/>
      <c r="B647" s="4" t="s">
        <v>1297</v>
      </c>
    </row>
    <row r="648">
      <c r="A648" s="4"/>
      <c r="B648" s="4" t="s">
        <v>1298</v>
      </c>
      <c r="I648" s="4">
        <v>1.0</v>
      </c>
    </row>
    <row r="649">
      <c r="A649" s="4"/>
      <c r="B649" s="4" t="s">
        <v>1040</v>
      </c>
    </row>
    <row r="650">
      <c r="A650" s="4"/>
      <c r="B650" s="4" t="s">
        <v>1041</v>
      </c>
    </row>
    <row r="651">
      <c r="A651" s="4"/>
      <c r="B651" s="4" t="s">
        <v>1042</v>
      </c>
    </row>
    <row r="652">
      <c r="A652" s="4"/>
      <c r="B652" s="4" t="s">
        <v>1043</v>
      </c>
    </row>
    <row r="653">
      <c r="A653" s="4"/>
      <c r="B653" s="4" t="s">
        <v>1044</v>
      </c>
    </row>
    <row r="654">
      <c r="A654" s="4"/>
      <c r="B654" s="4" t="s">
        <v>1045</v>
      </c>
    </row>
    <row r="655">
      <c r="A655" s="4"/>
      <c r="B655" s="4" t="s">
        <v>1046</v>
      </c>
    </row>
    <row r="656">
      <c r="A656" s="4"/>
      <c r="B656" s="4" t="s">
        <v>1048</v>
      </c>
    </row>
    <row r="657">
      <c r="A657" s="4"/>
      <c r="B657" s="4" t="s">
        <v>1047</v>
      </c>
      <c r="D657" s="4">
        <v>1.0</v>
      </c>
      <c r="F657" s="4">
        <v>1.0</v>
      </c>
    </row>
    <row r="658">
      <c r="A658" s="4"/>
      <c r="B658" s="4" t="s">
        <v>878</v>
      </c>
      <c r="D658" s="4">
        <v>1.0</v>
      </c>
    </row>
    <row r="659">
      <c r="A659" s="4"/>
      <c r="B659" s="4" t="s">
        <v>881</v>
      </c>
      <c r="D659" s="4">
        <v>1.0</v>
      </c>
    </row>
    <row r="660">
      <c r="A660" s="4"/>
      <c r="B660" s="4" t="s">
        <v>519</v>
      </c>
    </row>
    <row r="661">
      <c r="A661" s="4"/>
      <c r="B661" s="4" t="s">
        <v>854</v>
      </c>
    </row>
    <row r="662">
      <c r="A662" s="4"/>
      <c r="B662" s="4" t="s">
        <v>520</v>
      </c>
      <c r="C662" s="4">
        <v>7.0</v>
      </c>
      <c r="G662" s="4">
        <v>3.0</v>
      </c>
      <c r="L662" s="4">
        <v>3.0</v>
      </c>
      <c r="M662" s="4">
        <v>1.0</v>
      </c>
      <c r="N662" s="4">
        <v>3.0</v>
      </c>
      <c r="O662" s="4">
        <v>2.0</v>
      </c>
    </row>
    <row r="663">
      <c r="A663" s="4"/>
      <c r="B663" s="4" t="s">
        <v>521</v>
      </c>
      <c r="C663" s="4">
        <v>1.0</v>
      </c>
      <c r="E663" s="4">
        <v>1.0</v>
      </c>
      <c r="J663" s="4">
        <v>31.0</v>
      </c>
      <c r="L663" s="4">
        <v>1.0</v>
      </c>
      <c r="N663" s="4">
        <v>2.0</v>
      </c>
      <c r="O663" s="4">
        <v>1.0</v>
      </c>
      <c r="R663" s="4">
        <v>18.0</v>
      </c>
      <c r="S663" s="4">
        <v>2.0</v>
      </c>
      <c r="X663" s="4">
        <v>10.0</v>
      </c>
    </row>
    <row r="664">
      <c r="A664" s="4"/>
      <c r="B664" s="4" t="s">
        <v>522</v>
      </c>
      <c r="C664" s="4">
        <v>1.0</v>
      </c>
      <c r="J664" s="4">
        <v>5.0</v>
      </c>
      <c r="L664" s="4">
        <v>1.0</v>
      </c>
      <c r="R664" s="4">
        <v>2.0</v>
      </c>
      <c r="S664" s="4">
        <v>1.0</v>
      </c>
      <c r="X664" s="4">
        <v>1.0</v>
      </c>
    </row>
    <row r="665">
      <c r="A665" s="4"/>
      <c r="B665" s="4" t="s">
        <v>674</v>
      </c>
    </row>
    <row r="666">
      <c r="A666" s="4"/>
      <c r="B666" s="4" t="s">
        <v>307</v>
      </c>
    </row>
    <row r="667">
      <c r="A667" s="4"/>
      <c r="B667" s="4" t="s">
        <v>1079</v>
      </c>
    </row>
    <row r="668">
      <c r="A668" s="4"/>
      <c r="B668" s="4" t="s">
        <v>257</v>
      </c>
    </row>
    <row r="669">
      <c r="A669" s="4"/>
      <c r="B669" s="4" t="s">
        <v>258</v>
      </c>
      <c r="C669" s="4">
        <v>1.0</v>
      </c>
      <c r="F669" s="4">
        <v>1.0</v>
      </c>
      <c r="I669" s="4">
        <v>1.0</v>
      </c>
    </row>
    <row r="670">
      <c r="A670" s="4"/>
      <c r="B670" s="4" t="s">
        <v>259</v>
      </c>
      <c r="F670" s="4">
        <v>1.0</v>
      </c>
      <c r="I670" s="4">
        <v>1.0</v>
      </c>
    </row>
    <row r="671">
      <c r="A671" s="4"/>
      <c r="B671" s="4" t="s">
        <v>260</v>
      </c>
    </row>
    <row r="672">
      <c r="A672" s="4"/>
      <c r="B672" s="4" t="s">
        <v>261</v>
      </c>
    </row>
    <row r="673">
      <c r="A673" s="4"/>
      <c r="B673" s="4" t="s">
        <v>675</v>
      </c>
    </row>
    <row r="674">
      <c r="A674" s="4"/>
      <c r="B674" s="4" t="s">
        <v>676</v>
      </c>
      <c r="C674" s="4">
        <v>1.0</v>
      </c>
      <c r="E674" s="4">
        <v>1.0</v>
      </c>
      <c r="F674" s="4">
        <v>1.0</v>
      </c>
      <c r="H674" s="4"/>
      <c r="I674" s="4">
        <v>1.0</v>
      </c>
    </row>
    <row r="675">
      <c r="A675" s="4"/>
      <c r="B675" s="4" t="s">
        <v>523</v>
      </c>
      <c r="H675" s="4">
        <v>48.0</v>
      </c>
    </row>
    <row r="676">
      <c r="A676" s="4"/>
      <c r="B676" s="4" t="s">
        <v>524</v>
      </c>
      <c r="H676" s="4"/>
    </row>
    <row r="677">
      <c r="A677" s="4"/>
      <c r="B677" s="4" t="s">
        <v>1055</v>
      </c>
    </row>
    <row r="678">
      <c r="A678" s="4"/>
      <c r="B678" s="4" t="s">
        <v>886</v>
      </c>
    </row>
    <row r="679">
      <c r="A679" s="4"/>
      <c r="B679" s="4" t="s">
        <v>887</v>
      </c>
    </row>
    <row r="680">
      <c r="A680" s="4"/>
      <c r="B680" s="4" t="s">
        <v>888</v>
      </c>
    </row>
    <row r="681">
      <c r="A681" s="4"/>
      <c r="B681" s="4" t="s">
        <v>889</v>
      </c>
    </row>
    <row r="682">
      <c r="A682" s="4"/>
      <c r="B682" s="4" t="s">
        <v>890</v>
      </c>
      <c r="D682" s="4">
        <v>1.0</v>
      </c>
    </row>
    <row r="683">
      <c r="A683" s="4"/>
      <c r="B683" s="4" t="s">
        <v>1053</v>
      </c>
      <c r="D683" s="4">
        <v>1.0</v>
      </c>
    </row>
    <row r="684">
      <c r="A684" s="4">
        <v>18.0</v>
      </c>
      <c r="B684" s="4" t="s">
        <v>677</v>
      </c>
    </row>
    <row r="685">
      <c r="A685" s="4"/>
      <c r="B685" s="4" t="s">
        <v>678</v>
      </c>
      <c r="G685" s="4">
        <v>1.0</v>
      </c>
      <c r="M685" s="4">
        <v>1.0</v>
      </c>
    </row>
    <row r="686">
      <c r="A686" s="4"/>
      <c r="B686" s="4" t="s">
        <v>679</v>
      </c>
      <c r="C686" s="4">
        <v>1.0</v>
      </c>
      <c r="E686" s="4">
        <v>1.0</v>
      </c>
      <c r="F686" s="4">
        <v>1.0</v>
      </c>
      <c r="I686" s="4">
        <v>1.0</v>
      </c>
    </row>
    <row r="687">
      <c r="A687" s="4"/>
      <c r="B687" s="4" t="s">
        <v>1057</v>
      </c>
    </row>
    <row r="688">
      <c r="A688" s="4"/>
      <c r="B688" s="4" t="s">
        <v>1058</v>
      </c>
    </row>
    <row r="689">
      <c r="A689" s="4"/>
      <c r="B689" s="4" t="s">
        <v>680</v>
      </c>
    </row>
    <row r="690">
      <c r="A690" s="4"/>
      <c r="B690" s="4" t="s">
        <v>681</v>
      </c>
      <c r="F690" s="4">
        <v>1.0</v>
      </c>
      <c r="O690" s="4"/>
    </row>
    <row r="691">
      <c r="A691" s="4"/>
      <c r="B691" s="4" t="s">
        <v>525</v>
      </c>
      <c r="O691" s="4">
        <v>5.0</v>
      </c>
    </row>
    <row r="692">
      <c r="A692" s="4"/>
      <c r="B692" s="4" t="s">
        <v>526</v>
      </c>
    </row>
    <row r="693">
      <c r="A693" s="4"/>
      <c r="B693" s="4" t="s">
        <v>527</v>
      </c>
    </row>
    <row r="694">
      <c r="A694" s="4"/>
      <c r="B694" s="4" t="s">
        <v>528</v>
      </c>
    </row>
    <row r="695">
      <c r="A695" s="4"/>
      <c r="B695" s="4" t="s">
        <v>529</v>
      </c>
    </row>
    <row r="696">
      <c r="A696" s="4"/>
      <c r="B696" s="4" t="s">
        <v>531</v>
      </c>
      <c r="R696" s="4">
        <v>1.0</v>
      </c>
      <c r="Z696" s="4">
        <v>2.0</v>
      </c>
    </row>
    <row r="697">
      <c r="A697" s="4"/>
      <c r="B697" s="4" t="s">
        <v>533</v>
      </c>
    </row>
    <row r="698">
      <c r="A698" s="4"/>
      <c r="B698" s="4" t="s">
        <v>535</v>
      </c>
    </row>
    <row r="699">
      <c r="A699" s="4"/>
      <c r="B699" s="4" t="s">
        <v>536</v>
      </c>
    </row>
    <row r="700">
      <c r="A700" s="4"/>
      <c r="B700" s="4" t="s">
        <v>537</v>
      </c>
    </row>
    <row r="701">
      <c r="A701" s="4"/>
      <c r="B701" s="4" t="s">
        <v>544</v>
      </c>
      <c r="F701" s="4"/>
      <c r="N701" s="4">
        <v>1.0</v>
      </c>
    </row>
    <row r="702">
      <c r="A702" s="4"/>
      <c r="B702" s="4" t="s">
        <v>682</v>
      </c>
      <c r="F702" s="4"/>
      <c r="L702" s="4">
        <v>1.0</v>
      </c>
    </row>
    <row r="703">
      <c r="A703" s="4"/>
      <c r="B703" s="4" t="s">
        <v>538</v>
      </c>
      <c r="F703" s="4"/>
      <c r="L703" s="4">
        <v>1.0</v>
      </c>
    </row>
    <row r="704">
      <c r="A704" s="4"/>
      <c r="B704" s="4" t="s">
        <v>539</v>
      </c>
      <c r="F704" s="4"/>
      <c r="L704" s="4">
        <v>1.0</v>
      </c>
    </row>
    <row r="705">
      <c r="A705" s="4"/>
      <c r="B705" s="4" t="s">
        <v>541</v>
      </c>
      <c r="F705" s="4"/>
      <c r="L705" s="4">
        <v>1.0</v>
      </c>
    </row>
    <row r="706">
      <c r="A706" s="4"/>
      <c r="B706" s="4" t="s">
        <v>542</v>
      </c>
      <c r="F706" s="4"/>
      <c r="L706" s="4">
        <v>1.0</v>
      </c>
    </row>
    <row r="707">
      <c r="A707" s="4"/>
      <c r="B707" s="4" t="s">
        <v>573</v>
      </c>
      <c r="F707" s="4"/>
      <c r="L707" s="4">
        <v>1.0</v>
      </c>
    </row>
    <row r="708">
      <c r="A708" s="4"/>
      <c r="B708" s="4" t="s">
        <v>683</v>
      </c>
      <c r="F708" s="4"/>
      <c r="L708" s="4">
        <v>1.0</v>
      </c>
    </row>
    <row r="709">
      <c r="A709" s="4"/>
      <c r="B709" s="4" t="s">
        <v>543</v>
      </c>
      <c r="F709" s="4"/>
      <c r="L709" s="4">
        <v>1.0</v>
      </c>
    </row>
    <row r="710">
      <c r="A710" s="4"/>
      <c r="B710" s="4" t="s">
        <v>545</v>
      </c>
      <c r="F710" s="4"/>
      <c r="L710" s="4">
        <v>1.0</v>
      </c>
    </row>
    <row r="711">
      <c r="A711" s="4"/>
      <c r="B711" s="4" t="s">
        <v>546</v>
      </c>
      <c r="F711" s="4">
        <v>1.0</v>
      </c>
    </row>
    <row r="712">
      <c r="A712" s="4"/>
      <c r="B712" s="4" t="s">
        <v>547</v>
      </c>
    </row>
    <row r="713">
      <c r="A713" s="4"/>
      <c r="B713" s="4" t="s">
        <v>548</v>
      </c>
    </row>
    <row r="714">
      <c r="A714" s="4"/>
      <c r="B714" s="4" t="s">
        <v>564</v>
      </c>
      <c r="H714" s="4"/>
      <c r="N714" s="4">
        <v>1.0</v>
      </c>
    </row>
    <row r="715">
      <c r="A715" s="4"/>
      <c r="B715" s="4" t="s">
        <v>549</v>
      </c>
      <c r="H715" s="4">
        <v>1.0</v>
      </c>
    </row>
    <row r="716">
      <c r="A716" s="4"/>
      <c r="B716" s="4" t="s">
        <v>550</v>
      </c>
    </row>
    <row r="717">
      <c r="A717" s="4"/>
      <c r="B717" s="4" t="s">
        <v>555</v>
      </c>
    </row>
    <row r="718">
      <c r="A718" s="4"/>
      <c r="B718" s="4" t="s">
        <v>556</v>
      </c>
    </row>
    <row r="719">
      <c r="A719" s="4"/>
      <c r="B719" s="4" t="s">
        <v>558</v>
      </c>
      <c r="F719" s="4">
        <v>3.0</v>
      </c>
      <c r="N719" s="4"/>
    </row>
    <row r="720">
      <c r="A720" s="4"/>
      <c r="B720" s="4" t="s">
        <v>552</v>
      </c>
      <c r="N720" s="4">
        <v>1.0</v>
      </c>
    </row>
    <row r="721">
      <c r="A721" s="4"/>
      <c r="B721" s="4" t="s">
        <v>1299</v>
      </c>
      <c r="N721" s="4">
        <v>50.0</v>
      </c>
    </row>
    <row r="722">
      <c r="A722" s="4"/>
      <c r="B722" s="4" t="s">
        <v>565</v>
      </c>
      <c r="F722" s="4"/>
      <c r="L722" s="4"/>
      <c r="N722" s="4">
        <v>1.0</v>
      </c>
      <c r="R722" s="4"/>
    </row>
    <row r="723">
      <c r="A723" s="4"/>
      <c r="B723" s="4" t="s">
        <v>569</v>
      </c>
      <c r="F723" s="4"/>
      <c r="L723" s="4"/>
      <c r="N723" s="4">
        <v>1.0</v>
      </c>
      <c r="R723" s="4"/>
    </row>
    <row r="724">
      <c r="A724" s="4"/>
      <c r="B724" s="4" t="s">
        <v>566</v>
      </c>
      <c r="F724" s="4"/>
      <c r="L724" s="4"/>
      <c r="N724" s="4">
        <v>1.0</v>
      </c>
      <c r="R724" s="4"/>
    </row>
    <row r="725">
      <c r="A725" s="4"/>
      <c r="B725" s="4" t="s">
        <v>567</v>
      </c>
      <c r="F725" s="4"/>
      <c r="L725" s="4"/>
      <c r="N725" s="4">
        <v>1.0</v>
      </c>
      <c r="R725" s="4"/>
    </row>
    <row r="726">
      <c r="A726" s="4"/>
      <c r="B726" s="4" t="s">
        <v>554</v>
      </c>
      <c r="F726" s="4"/>
      <c r="L726" s="4"/>
      <c r="N726" s="4">
        <v>1.0</v>
      </c>
      <c r="R726" s="4"/>
    </row>
    <row r="727">
      <c r="A727" s="4"/>
      <c r="B727" s="4" t="s">
        <v>568</v>
      </c>
      <c r="F727" s="4"/>
      <c r="L727" s="4"/>
      <c r="N727" s="4">
        <v>1.0</v>
      </c>
      <c r="R727" s="4"/>
    </row>
    <row r="728">
      <c r="A728" s="4"/>
      <c r="B728" s="4" t="s">
        <v>553</v>
      </c>
      <c r="F728" s="4"/>
      <c r="L728" s="4"/>
      <c r="N728" s="4">
        <v>1.0</v>
      </c>
      <c r="R728" s="4"/>
    </row>
    <row r="729">
      <c r="A729" s="4"/>
      <c r="B729" s="4" t="s">
        <v>575</v>
      </c>
      <c r="F729" s="4"/>
      <c r="L729" s="4"/>
      <c r="N729" s="4">
        <v>1.0</v>
      </c>
      <c r="R729" s="4"/>
    </row>
    <row r="730">
      <c r="A730" s="4"/>
      <c r="B730" s="4" t="s">
        <v>571</v>
      </c>
      <c r="F730" s="4"/>
      <c r="L730" s="4"/>
      <c r="N730" s="4">
        <v>1.0</v>
      </c>
      <c r="R730" s="4"/>
    </row>
    <row r="731">
      <c r="A731" s="4"/>
      <c r="B731" s="4" t="s">
        <v>572</v>
      </c>
      <c r="F731" s="4"/>
      <c r="L731" s="4"/>
      <c r="N731" s="4">
        <v>1.0</v>
      </c>
      <c r="R731" s="4"/>
    </row>
    <row r="732">
      <c r="A732" s="4"/>
      <c r="B732" s="4" t="s">
        <v>570</v>
      </c>
      <c r="F732" s="4"/>
      <c r="L732" s="4"/>
      <c r="N732" s="4">
        <v>1.0</v>
      </c>
      <c r="R732" s="4"/>
    </row>
    <row r="733">
      <c r="A733" s="4"/>
      <c r="B733" s="4" t="s">
        <v>551</v>
      </c>
      <c r="F733" s="4">
        <v>2.0</v>
      </c>
      <c r="L733" s="4"/>
      <c r="N733" s="4"/>
      <c r="R733" s="4"/>
    </row>
    <row r="734">
      <c r="A734" s="4"/>
      <c r="B734" s="4" t="s">
        <v>534</v>
      </c>
      <c r="L734" s="4"/>
      <c r="N734" s="4"/>
      <c r="R734" s="4">
        <v>1.0</v>
      </c>
    </row>
    <row r="735">
      <c r="A735" s="4"/>
      <c r="B735" s="4" t="s">
        <v>561</v>
      </c>
      <c r="L735" s="4"/>
      <c r="N735" s="4">
        <v>1.0</v>
      </c>
    </row>
    <row r="736">
      <c r="A736" s="4"/>
      <c r="B736" s="4" t="s">
        <v>560</v>
      </c>
      <c r="L736" s="4">
        <v>3.0</v>
      </c>
    </row>
    <row r="737">
      <c r="A737" s="4"/>
      <c r="B737" s="4" t="s">
        <v>562</v>
      </c>
      <c r="N737" s="4">
        <v>1.0</v>
      </c>
    </row>
    <row r="738">
      <c r="A738" s="4"/>
      <c r="B738" s="4" t="s">
        <v>563</v>
      </c>
    </row>
    <row r="739">
      <c r="A739" s="4"/>
      <c r="B739" s="4" t="s">
        <v>574</v>
      </c>
      <c r="F739" s="4">
        <v>1.0</v>
      </c>
    </row>
    <row r="740">
      <c r="A740" s="4"/>
      <c r="B740" s="4" t="s">
        <v>557</v>
      </c>
      <c r="C740" s="4">
        <v>1.0</v>
      </c>
      <c r="X740" s="4">
        <v>1.0</v>
      </c>
    </row>
    <row r="741">
      <c r="A741" s="4"/>
      <c r="B741" s="4" t="s">
        <v>576</v>
      </c>
      <c r="C741" s="4">
        <v>1.0</v>
      </c>
      <c r="L741" s="4">
        <v>1.0</v>
      </c>
      <c r="M741" s="4">
        <v>1.0</v>
      </c>
    </row>
    <row r="742">
      <c r="A742" s="4"/>
      <c r="B742" s="4" t="s">
        <v>577</v>
      </c>
      <c r="D742" s="4">
        <v>1.0</v>
      </c>
      <c r="G742" s="4">
        <v>1.0</v>
      </c>
      <c r="M742" s="4">
        <v>1.0</v>
      </c>
    </row>
    <row r="743">
      <c r="A743" s="4"/>
      <c r="B743" s="4" t="s">
        <v>938</v>
      </c>
    </row>
    <row r="744">
      <c r="A744" s="4"/>
      <c r="B744" s="4" t="s">
        <v>939</v>
      </c>
    </row>
    <row r="745">
      <c r="A745" s="4"/>
      <c r="B745" s="4" t="s">
        <v>940</v>
      </c>
      <c r="C745" s="4">
        <v>1.0</v>
      </c>
      <c r="E745" s="4">
        <v>1.0</v>
      </c>
      <c r="O745" s="4"/>
      <c r="Q745" s="4">
        <v>1.0</v>
      </c>
    </row>
    <row r="746">
      <c r="A746" s="4"/>
      <c r="B746" s="4" t="s">
        <v>941</v>
      </c>
      <c r="E746" s="4">
        <v>2.0</v>
      </c>
      <c r="H746" s="4"/>
      <c r="M746" s="4"/>
      <c r="O746" s="4"/>
      <c r="AA746" s="4"/>
      <c r="AD746" s="4"/>
      <c r="AE746" s="4"/>
      <c r="AI746" s="4"/>
    </row>
    <row r="747">
      <c r="A747" s="4"/>
      <c r="B747" s="4" t="s">
        <v>578</v>
      </c>
      <c r="E747" s="4">
        <v>2.0</v>
      </c>
      <c r="H747" s="4">
        <v>2.0</v>
      </c>
      <c r="M747" s="4">
        <v>1.0</v>
      </c>
      <c r="O747" s="4"/>
      <c r="AA747" s="4">
        <v>2.0</v>
      </c>
      <c r="AD747" s="4">
        <v>2.0</v>
      </c>
      <c r="AE747" s="4">
        <v>2.0</v>
      </c>
      <c r="AI747" s="4">
        <v>2.0</v>
      </c>
    </row>
    <row r="748">
      <c r="A748" s="4"/>
      <c r="B748" s="4" t="s">
        <v>1300</v>
      </c>
      <c r="C748" s="4">
        <v>1.0</v>
      </c>
      <c r="I748" s="4">
        <v>1.0</v>
      </c>
      <c r="K748" s="4">
        <v>1.0</v>
      </c>
      <c r="M748" s="4">
        <v>1.0</v>
      </c>
      <c r="O748" s="4">
        <v>20.0</v>
      </c>
      <c r="T748" s="4">
        <v>1.0</v>
      </c>
      <c r="AF748" s="4">
        <v>1.0</v>
      </c>
    </row>
    <row r="749">
      <c r="A749" s="4"/>
      <c r="B749" s="4" t="s">
        <v>942</v>
      </c>
    </row>
    <row r="750">
      <c r="A750" s="4"/>
      <c r="B750" s="4" t="s">
        <v>943</v>
      </c>
    </row>
    <row r="751">
      <c r="A751" s="4"/>
      <c r="B751" s="4" t="s">
        <v>944</v>
      </c>
      <c r="C751" s="4">
        <v>2.0</v>
      </c>
      <c r="E751" s="4">
        <v>2.0</v>
      </c>
      <c r="Q751" s="4">
        <v>2.0</v>
      </c>
      <c r="AI751" s="4">
        <v>1.0</v>
      </c>
    </row>
    <row r="752">
      <c r="A752" s="4"/>
      <c r="B752" s="4" t="s">
        <v>945</v>
      </c>
    </row>
    <row r="753">
      <c r="A753" s="4"/>
      <c r="B753" s="4" t="s">
        <v>946</v>
      </c>
    </row>
    <row r="754">
      <c r="A754" s="4"/>
      <c r="B754" s="4" t="s">
        <v>947</v>
      </c>
      <c r="D754" s="4">
        <v>1.0</v>
      </c>
      <c r="G754" s="4">
        <v>1.0</v>
      </c>
      <c r="I754" s="4">
        <v>1.0</v>
      </c>
      <c r="L754" s="4"/>
      <c r="M754" s="4">
        <v>1.0</v>
      </c>
      <c r="T754" s="4">
        <v>1.0</v>
      </c>
      <c r="U754" s="4">
        <v>1.0</v>
      </c>
      <c r="Y754" s="4">
        <v>1.0</v>
      </c>
    </row>
    <row r="755">
      <c r="A755" s="4"/>
      <c r="B755" s="4" t="s">
        <v>948</v>
      </c>
      <c r="L755" s="4">
        <v>1.0</v>
      </c>
    </row>
    <row r="756">
      <c r="A756" s="4"/>
      <c r="B756" s="4" t="s">
        <v>949</v>
      </c>
      <c r="R756" s="4">
        <v>1.0</v>
      </c>
    </row>
    <row r="757">
      <c r="A757" s="4"/>
      <c r="B757" s="4" t="s">
        <v>950</v>
      </c>
    </row>
    <row r="758">
      <c r="A758" s="4"/>
      <c r="B758" s="4" t="s">
        <v>951</v>
      </c>
      <c r="D758" s="4">
        <v>1.0</v>
      </c>
      <c r="K758" s="4">
        <v>1.0</v>
      </c>
    </row>
    <row r="759">
      <c r="A759" s="4"/>
      <c r="B759" s="4" t="s">
        <v>952</v>
      </c>
      <c r="D759" s="4">
        <v>1.0</v>
      </c>
      <c r="K759" s="4">
        <v>1.0</v>
      </c>
    </row>
    <row r="760">
      <c r="A760" s="4"/>
      <c r="B760" s="4" t="s">
        <v>953</v>
      </c>
      <c r="D760" s="4">
        <v>1.0</v>
      </c>
      <c r="K760" s="4">
        <v>1.0</v>
      </c>
    </row>
    <row r="761">
      <c r="A761" s="4"/>
      <c r="B761" s="4" t="s">
        <v>954</v>
      </c>
      <c r="K761" s="4">
        <v>2.0</v>
      </c>
    </row>
    <row r="762">
      <c r="A762" s="4"/>
      <c r="B762" s="4" t="s">
        <v>874</v>
      </c>
      <c r="I762" s="4">
        <v>2.0</v>
      </c>
    </row>
    <row r="763">
      <c r="A763" s="4"/>
      <c r="B763" s="4" t="s">
        <v>955</v>
      </c>
    </row>
    <row r="764">
      <c r="A764" s="4"/>
      <c r="B764" s="4" t="s">
        <v>956</v>
      </c>
      <c r="D764" s="4"/>
      <c r="U764" s="4">
        <v>2.0</v>
      </c>
      <c r="AH764" s="4"/>
    </row>
    <row r="765">
      <c r="A765" s="4"/>
      <c r="B765" s="4" t="s">
        <v>957</v>
      </c>
      <c r="D765" s="4">
        <v>1.0</v>
      </c>
      <c r="AH765" s="4">
        <v>1.0</v>
      </c>
    </row>
    <row r="766">
      <c r="A766" s="4"/>
      <c r="B766" s="4" t="s">
        <v>958</v>
      </c>
      <c r="V766" s="4">
        <v>1.0</v>
      </c>
    </row>
    <row r="767">
      <c r="A767" s="4"/>
      <c r="B767" s="4" t="s">
        <v>971</v>
      </c>
      <c r="R767" s="4">
        <v>1.0</v>
      </c>
    </row>
    <row r="768">
      <c r="A768" s="4"/>
      <c r="B768" s="4" t="s">
        <v>959</v>
      </c>
    </row>
    <row r="769">
      <c r="A769" s="4"/>
      <c r="B769" s="4" t="s">
        <v>960</v>
      </c>
    </row>
    <row r="770">
      <c r="A770" s="4"/>
      <c r="B770" s="4" t="s">
        <v>961</v>
      </c>
      <c r="Q770" s="4">
        <v>1.0</v>
      </c>
    </row>
    <row r="771">
      <c r="A771" s="4"/>
      <c r="B771" s="4" t="s">
        <v>963</v>
      </c>
    </row>
    <row r="772">
      <c r="A772" s="4"/>
      <c r="B772" s="4" t="s">
        <v>964</v>
      </c>
      <c r="J772" s="4">
        <v>1.0</v>
      </c>
    </row>
    <row r="773">
      <c r="A773" s="4"/>
      <c r="B773" s="4" t="s">
        <v>965</v>
      </c>
    </row>
    <row r="774">
      <c r="A774" s="4"/>
      <c r="B774" s="4" t="s">
        <v>684</v>
      </c>
      <c r="K774" s="4">
        <v>4.0</v>
      </c>
    </row>
    <row r="775">
      <c r="A775" s="4"/>
      <c r="B775" s="4" t="s">
        <v>327</v>
      </c>
      <c r="O775" s="4">
        <v>1.0</v>
      </c>
    </row>
    <row r="776">
      <c r="A776" s="4"/>
      <c r="B776" s="4" t="s">
        <v>966</v>
      </c>
      <c r="Y776" s="4">
        <v>1.0</v>
      </c>
    </row>
    <row r="777">
      <c r="A777" s="4"/>
      <c r="B777" s="4" t="s">
        <v>967</v>
      </c>
    </row>
    <row r="778">
      <c r="A778" s="4"/>
      <c r="B778" s="4" t="s">
        <v>968</v>
      </c>
    </row>
    <row r="779">
      <c r="A779" s="4"/>
      <c r="B779" s="4" t="s">
        <v>969</v>
      </c>
      <c r="O779" s="4">
        <v>3.0</v>
      </c>
    </row>
    <row r="780">
      <c r="A780" s="4"/>
      <c r="B780" s="4" t="s">
        <v>970</v>
      </c>
      <c r="L780" s="4">
        <v>2.0</v>
      </c>
    </row>
    <row r="781">
      <c r="A781" s="4"/>
      <c r="B781" s="4" t="s">
        <v>972</v>
      </c>
    </row>
    <row r="782">
      <c r="A782" s="4"/>
      <c r="B782" s="4" t="s">
        <v>973</v>
      </c>
    </row>
    <row r="783">
      <c r="A783" s="4"/>
      <c r="B783" s="4" t="s">
        <v>974</v>
      </c>
      <c r="J783" s="4">
        <v>1.0</v>
      </c>
      <c r="S783" s="4">
        <v>1.0</v>
      </c>
      <c r="X783" s="4">
        <v>1.0</v>
      </c>
    </row>
    <row r="784">
      <c r="A784" s="4"/>
      <c r="B784" s="4" t="s">
        <v>975</v>
      </c>
    </row>
    <row r="785">
      <c r="A785" s="4"/>
      <c r="B785" s="4" t="s">
        <v>976</v>
      </c>
      <c r="V785" s="4">
        <v>1.0</v>
      </c>
    </row>
    <row r="786">
      <c r="A786" s="4"/>
      <c r="B786" s="4" t="s">
        <v>962</v>
      </c>
      <c r="M786" s="4">
        <v>2.0</v>
      </c>
    </row>
    <row r="787">
      <c r="A787" s="4"/>
      <c r="B787" s="4" t="s">
        <v>977</v>
      </c>
    </row>
    <row r="788">
      <c r="A788" s="4"/>
      <c r="B788" s="4" t="s">
        <v>978</v>
      </c>
      <c r="R788" s="4">
        <v>2.0</v>
      </c>
      <c r="V788" s="4"/>
    </row>
    <row r="789">
      <c r="A789" s="4"/>
      <c r="B789" s="4" t="s">
        <v>1301</v>
      </c>
      <c r="V789" s="4">
        <v>21.0</v>
      </c>
    </row>
    <row r="790">
      <c r="A790" s="4"/>
      <c r="B790" s="4" t="s">
        <v>980</v>
      </c>
      <c r="V790" s="4">
        <v>2.0</v>
      </c>
    </row>
    <row r="791">
      <c r="A791" s="4"/>
      <c r="B791" s="4" t="s">
        <v>979</v>
      </c>
      <c r="V791" s="4">
        <v>2.0</v>
      </c>
    </row>
    <row r="792">
      <c r="A792" s="4"/>
      <c r="B792" s="4" t="s">
        <v>981</v>
      </c>
      <c r="V792" s="4">
        <v>1.0</v>
      </c>
    </row>
    <row r="793">
      <c r="A793" s="4"/>
      <c r="B793" s="4" t="s">
        <v>904</v>
      </c>
    </row>
    <row r="794">
      <c r="A794" s="4"/>
      <c r="B794" s="4" t="s">
        <v>905</v>
      </c>
    </row>
    <row r="795">
      <c r="A795" s="4"/>
      <c r="B795" s="4" t="s">
        <v>906</v>
      </c>
      <c r="M795" s="4">
        <v>1.0</v>
      </c>
    </row>
    <row r="796">
      <c r="A796" s="4"/>
      <c r="B796" s="4" t="s">
        <v>907</v>
      </c>
    </row>
    <row r="797">
      <c r="A797" s="4"/>
      <c r="B797" s="4" t="s">
        <v>899</v>
      </c>
    </row>
    <row r="798">
      <c r="A798" s="4"/>
      <c r="B798" s="4" t="s">
        <v>900</v>
      </c>
      <c r="C798" s="4">
        <v>1.0</v>
      </c>
      <c r="F798" s="4">
        <v>1.0</v>
      </c>
      <c r="I798" s="4">
        <v>1.0</v>
      </c>
      <c r="L798" s="4">
        <v>3.0</v>
      </c>
    </row>
    <row r="799">
      <c r="A799" s="4"/>
      <c r="B799" s="4" t="s">
        <v>901</v>
      </c>
    </row>
    <row r="800">
      <c r="A800" s="4"/>
      <c r="B800" s="4" t="s">
        <v>902</v>
      </c>
      <c r="L800" s="4">
        <v>1.0</v>
      </c>
    </row>
    <row r="801">
      <c r="A801" s="4"/>
      <c r="B801" s="4" t="s">
        <v>998</v>
      </c>
      <c r="D801" s="4">
        <v>1.0</v>
      </c>
      <c r="G801" s="4">
        <v>1.0</v>
      </c>
    </row>
    <row r="802">
      <c r="A802" s="4"/>
      <c r="B802" s="4" t="s">
        <v>999</v>
      </c>
      <c r="D802" s="4">
        <v>1.0</v>
      </c>
      <c r="G802" s="4">
        <v>1.0</v>
      </c>
    </row>
    <row r="803">
      <c r="A803" s="4"/>
      <c r="B803" s="4" t="s">
        <v>1063</v>
      </c>
    </row>
    <row r="804">
      <c r="A804" s="4"/>
      <c r="B804" s="4" t="s">
        <v>1064</v>
      </c>
    </row>
    <row r="805">
      <c r="A805" s="4"/>
      <c r="B805" s="4" t="s">
        <v>289</v>
      </c>
      <c r="E805" s="4">
        <v>1.0</v>
      </c>
    </row>
    <row r="806">
      <c r="A806" s="4"/>
      <c r="B806" s="4" t="s">
        <v>1066</v>
      </c>
    </row>
    <row r="807">
      <c r="A807" s="14"/>
      <c r="B807" s="14" t="s">
        <v>1067</v>
      </c>
    </row>
    <row r="808">
      <c r="A808" s="4"/>
      <c r="B808" s="4" t="s">
        <v>1068</v>
      </c>
    </row>
    <row r="809">
      <c r="A809" s="4"/>
      <c r="B809" s="4" t="s">
        <v>1069</v>
      </c>
    </row>
    <row r="810">
      <c r="A810" s="4"/>
      <c r="B810" s="4" t="s">
        <v>1070</v>
      </c>
      <c r="D810" s="4">
        <v>1.0</v>
      </c>
    </row>
    <row r="811">
      <c r="A811" s="4"/>
      <c r="B811" s="4" t="s">
        <v>1071</v>
      </c>
    </row>
    <row r="812">
      <c r="A812" s="4"/>
      <c r="B812" s="4" t="s">
        <v>1074</v>
      </c>
    </row>
    <row r="813">
      <c r="A813" s="4"/>
      <c r="B813" s="4" t="s">
        <v>347</v>
      </c>
      <c r="L813" s="4">
        <v>1.0</v>
      </c>
    </row>
    <row r="814">
      <c r="A814" s="4"/>
      <c r="B814" s="4" t="s">
        <v>346</v>
      </c>
      <c r="L814" s="4">
        <v>1.0</v>
      </c>
    </row>
    <row r="815">
      <c r="A815" s="4"/>
      <c r="B815" s="4" t="s">
        <v>348</v>
      </c>
      <c r="L815" s="4">
        <v>1.0</v>
      </c>
    </row>
    <row r="816">
      <c r="A816" s="4"/>
      <c r="B816" s="4" t="s">
        <v>349</v>
      </c>
      <c r="L816" s="4">
        <v>1.0</v>
      </c>
    </row>
    <row r="817">
      <c r="A817" s="4"/>
      <c r="B817" s="4" t="s">
        <v>349</v>
      </c>
      <c r="L817" s="4">
        <v>1.0</v>
      </c>
    </row>
    <row r="818">
      <c r="A818" s="4"/>
      <c r="B818" s="4" t="s">
        <v>350</v>
      </c>
      <c r="L818" s="4">
        <v>1.0</v>
      </c>
    </row>
    <row r="819">
      <c r="A819" s="4"/>
      <c r="B819" s="4" t="s">
        <v>351</v>
      </c>
      <c r="L819" s="4">
        <v>1.0</v>
      </c>
    </row>
    <row r="820">
      <c r="A820" s="4"/>
      <c r="B820" s="4" t="s">
        <v>352</v>
      </c>
      <c r="L820" s="4">
        <v>1.0</v>
      </c>
    </row>
    <row r="821">
      <c r="A821" s="4"/>
      <c r="B821" s="4" t="s">
        <v>685</v>
      </c>
    </row>
    <row r="822">
      <c r="A822" s="4"/>
      <c r="B822" s="4" t="s">
        <v>686</v>
      </c>
    </row>
    <row r="823">
      <c r="A823" s="4"/>
      <c r="B823" s="4" t="s">
        <v>785</v>
      </c>
      <c r="V823" s="4">
        <v>1.0</v>
      </c>
    </row>
    <row r="824">
      <c r="A824" s="4"/>
      <c r="B824" s="4" t="s">
        <v>784</v>
      </c>
      <c r="V824" s="4">
        <v>1.0</v>
      </c>
    </row>
    <row r="825">
      <c r="A825" s="4"/>
      <c r="B825" s="4" t="s">
        <v>787</v>
      </c>
      <c r="V825" s="4">
        <v>1.0</v>
      </c>
    </row>
    <row r="826">
      <c r="A826" s="4"/>
      <c r="B826" s="4" t="s">
        <v>791</v>
      </c>
      <c r="D826" s="4"/>
      <c r="V826" s="4">
        <v>1.0</v>
      </c>
    </row>
    <row r="827">
      <c r="A827" s="4"/>
      <c r="B827" s="4" t="s">
        <v>788</v>
      </c>
      <c r="D827" s="4"/>
      <c r="V827" s="4">
        <v>1.0</v>
      </c>
    </row>
    <row r="828">
      <c r="A828" s="4"/>
      <c r="B828" s="4" t="s">
        <v>789</v>
      </c>
      <c r="D828" s="4"/>
      <c r="V828" s="4">
        <v>1.0</v>
      </c>
    </row>
    <row r="829">
      <c r="A829" s="4"/>
      <c r="B829" s="4" t="s">
        <v>790</v>
      </c>
      <c r="D829" s="4"/>
      <c r="V829" s="4">
        <v>1.0</v>
      </c>
    </row>
    <row r="830">
      <c r="A830" s="4"/>
      <c r="B830" s="4" t="s">
        <v>983</v>
      </c>
      <c r="D830" s="4">
        <v>1.0</v>
      </c>
    </row>
    <row r="831">
      <c r="A831" s="4"/>
      <c r="B831" s="4" t="s">
        <v>795</v>
      </c>
    </row>
    <row r="832">
      <c r="A832" s="4"/>
      <c r="B832" s="4" t="s">
        <v>794</v>
      </c>
      <c r="J832" s="4">
        <v>1.0</v>
      </c>
    </row>
    <row r="833">
      <c r="A833" s="4"/>
      <c r="B833" s="4" t="s">
        <v>796</v>
      </c>
    </row>
    <row r="834">
      <c r="A834" s="4"/>
      <c r="B834" s="4" t="s">
        <v>797</v>
      </c>
    </row>
    <row r="835">
      <c r="A835" s="4"/>
      <c r="B835" s="4" t="s">
        <v>185</v>
      </c>
      <c r="D835" s="4">
        <v>1.0</v>
      </c>
    </row>
    <row r="836">
      <c r="A836" s="4"/>
      <c r="B836" s="4" t="s">
        <v>323</v>
      </c>
    </row>
    <row r="837">
      <c r="A837" s="4"/>
      <c r="B837" s="4" t="s">
        <v>919</v>
      </c>
      <c r="C837" s="4"/>
      <c r="F837" s="4">
        <v>1.0</v>
      </c>
      <c r="I837" s="4">
        <v>1.0</v>
      </c>
    </row>
    <row r="838">
      <c r="A838" s="4"/>
      <c r="B838" s="4" t="s">
        <v>920</v>
      </c>
      <c r="C838" s="4">
        <v>1.0</v>
      </c>
    </row>
    <row r="839">
      <c r="A839" s="4"/>
      <c r="B839" s="4" t="s">
        <v>921</v>
      </c>
      <c r="C839" s="4">
        <v>1.0</v>
      </c>
    </row>
    <row r="840">
      <c r="A840" s="4"/>
      <c r="B840" s="4" t="s">
        <v>922</v>
      </c>
    </row>
    <row r="841">
      <c r="A841" s="4"/>
      <c r="B841" s="4" t="s">
        <v>923</v>
      </c>
      <c r="C841" s="4">
        <v>1.0</v>
      </c>
      <c r="F841" s="4">
        <v>1.0</v>
      </c>
      <c r="I841" s="4">
        <v>1.0</v>
      </c>
    </row>
    <row r="842">
      <c r="A842" s="4"/>
      <c r="B842" s="4" t="s">
        <v>924</v>
      </c>
      <c r="C842" s="4">
        <v>1.0</v>
      </c>
      <c r="L842" s="4">
        <v>1.0</v>
      </c>
    </row>
    <row r="843">
      <c r="A843" s="4"/>
      <c r="B843" s="4" t="s">
        <v>687</v>
      </c>
    </row>
    <row r="844">
      <c r="A844" s="4"/>
      <c r="B844" s="4" t="s">
        <v>1092</v>
      </c>
    </row>
    <row r="845">
      <c r="A845" s="4"/>
      <c r="B845" s="4" t="s">
        <v>1093</v>
      </c>
    </row>
    <row r="846">
      <c r="A846" s="4"/>
      <c r="B846" s="4" t="s">
        <v>1094</v>
      </c>
    </row>
    <row r="847">
      <c r="A847" s="4"/>
      <c r="B847" s="4" t="s">
        <v>1095</v>
      </c>
    </row>
    <row r="848">
      <c r="A848" s="4"/>
      <c r="B848" s="4" t="s">
        <v>1096</v>
      </c>
    </row>
    <row r="849">
      <c r="A849" s="4"/>
      <c r="B849" s="4" t="s">
        <v>1097</v>
      </c>
    </row>
    <row r="850">
      <c r="A850" s="4"/>
      <c r="B850" s="4" t="s">
        <v>1098</v>
      </c>
    </row>
    <row r="851">
      <c r="A851" s="4"/>
      <c r="B851" s="4" t="s">
        <v>1099</v>
      </c>
    </row>
    <row r="852">
      <c r="A852" s="4"/>
      <c r="B852" s="4" t="s">
        <v>1100</v>
      </c>
    </row>
    <row r="853">
      <c r="A853" s="4"/>
      <c r="B853" s="4" t="s">
        <v>1101</v>
      </c>
    </row>
    <row r="854">
      <c r="A854" s="4"/>
      <c r="B854" s="4" t="s">
        <v>1102</v>
      </c>
    </row>
    <row r="855">
      <c r="A855" s="4"/>
      <c r="B855" s="4" t="s">
        <v>1104</v>
      </c>
    </row>
    <row r="856">
      <c r="A856" s="4"/>
      <c r="B856" s="4" t="s">
        <v>1105</v>
      </c>
    </row>
    <row r="857">
      <c r="A857" s="4"/>
      <c r="B857" s="4" t="s">
        <v>1103</v>
      </c>
      <c r="G857" s="4">
        <v>1.0</v>
      </c>
    </row>
    <row r="858">
      <c r="A858" s="4"/>
      <c r="B858" s="4" t="s">
        <v>1106</v>
      </c>
      <c r="G858" s="4">
        <v>1.0</v>
      </c>
    </row>
    <row r="859">
      <c r="A859" s="4"/>
      <c r="B859" s="4" t="s">
        <v>1107</v>
      </c>
    </row>
    <row r="860">
      <c r="A860" s="4"/>
      <c r="B860" s="4" t="s">
        <v>1108</v>
      </c>
    </row>
    <row r="861">
      <c r="A861" s="4"/>
      <c r="B861" s="4" t="s">
        <v>1109</v>
      </c>
    </row>
    <row r="862">
      <c r="A862" s="4"/>
      <c r="B862" s="4" t="s">
        <v>1110</v>
      </c>
    </row>
    <row r="863">
      <c r="A863" s="4"/>
      <c r="B863" s="4" t="s">
        <v>1111</v>
      </c>
      <c r="K863" s="4">
        <v>1.0</v>
      </c>
    </row>
    <row r="864">
      <c r="A864" s="4"/>
      <c r="B864" s="4" t="s">
        <v>1112</v>
      </c>
    </row>
    <row r="865">
      <c r="A865" s="4"/>
      <c r="B865" s="4" t="s">
        <v>1113</v>
      </c>
    </row>
    <row r="866">
      <c r="A866" s="4"/>
      <c r="B866" s="4" t="s">
        <v>1114</v>
      </c>
    </row>
    <row r="867">
      <c r="A867" s="4"/>
      <c r="B867" s="4" t="s">
        <v>1115</v>
      </c>
    </row>
    <row r="868">
      <c r="A868" s="4"/>
      <c r="B868" s="4" t="s">
        <v>1116</v>
      </c>
    </row>
    <row r="869">
      <c r="A869" s="4"/>
      <c r="B869" s="4" t="s">
        <v>1117</v>
      </c>
      <c r="K869" s="4">
        <v>2.0</v>
      </c>
    </row>
    <row r="870">
      <c r="A870" s="4"/>
      <c r="B870" s="4" t="s">
        <v>1118</v>
      </c>
    </row>
    <row r="871">
      <c r="A871" s="4"/>
      <c r="B871" s="4" t="s">
        <v>1119</v>
      </c>
    </row>
    <row r="872">
      <c r="A872" s="4"/>
      <c r="B872" s="4" t="s">
        <v>1120</v>
      </c>
    </row>
    <row r="873">
      <c r="A873" s="4"/>
      <c r="B873" s="4" t="s">
        <v>1121</v>
      </c>
    </row>
    <row r="874">
      <c r="A874" s="4"/>
      <c r="B874" s="4" t="s">
        <v>1122</v>
      </c>
    </row>
    <row r="875">
      <c r="A875" s="4"/>
      <c r="B875" s="4" t="s">
        <v>1123</v>
      </c>
    </row>
    <row r="876">
      <c r="A876" s="4"/>
      <c r="B876" s="4" t="s">
        <v>1124</v>
      </c>
    </row>
    <row r="877">
      <c r="A877" s="4"/>
      <c r="B877" s="4" t="s">
        <v>1125</v>
      </c>
    </row>
    <row r="878">
      <c r="A878" s="4"/>
      <c r="B878" s="4" t="s">
        <v>1126</v>
      </c>
    </row>
    <row r="879">
      <c r="A879" s="4"/>
      <c r="B879" s="4" t="s">
        <v>1127</v>
      </c>
    </row>
    <row r="880">
      <c r="A880" s="4"/>
      <c r="B880" s="4" t="s">
        <v>1128</v>
      </c>
    </row>
    <row r="881">
      <c r="A881" s="4"/>
      <c r="B881" s="4" t="s">
        <v>1129</v>
      </c>
    </row>
    <row r="882">
      <c r="A882" s="4"/>
      <c r="B882" s="4" t="s">
        <v>1130</v>
      </c>
    </row>
    <row r="883">
      <c r="A883" s="4"/>
      <c r="B883" s="4" t="s">
        <v>1131</v>
      </c>
    </row>
    <row r="884">
      <c r="A884" s="4"/>
      <c r="B884" s="4" t="s">
        <v>1132</v>
      </c>
      <c r="K884" s="4">
        <v>1.0</v>
      </c>
    </row>
    <row r="885">
      <c r="A885" s="4"/>
      <c r="B885" s="4" t="s">
        <v>1133</v>
      </c>
    </row>
    <row r="886">
      <c r="A886" s="4"/>
      <c r="B886" s="4" t="s">
        <v>1134</v>
      </c>
    </row>
    <row r="887">
      <c r="A887" s="4"/>
      <c r="B887" s="4" t="s">
        <v>1135</v>
      </c>
    </row>
    <row r="888">
      <c r="A888" s="4"/>
      <c r="B888" s="4" t="s">
        <v>1136</v>
      </c>
    </row>
    <row r="889">
      <c r="A889" s="4"/>
      <c r="B889" s="4" t="s">
        <v>1137</v>
      </c>
    </row>
    <row r="890">
      <c r="A890" s="4"/>
      <c r="B890" s="4" t="s">
        <v>1138</v>
      </c>
    </row>
    <row r="891">
      <c r="A891" s="4"/>
      <c r="B891" s="4" t="s">
        <v>1139</v>
      </c>
    </row>
    <row r="892">
      <c r="A892" s="4"/>
      <c r="B892" s="4" t="s">
        <v>1140</v>
      </c>
    </row>
    <row r="893">
      <c r="A893" s="4"/>
      <c r="B893" s="4" t="s">
        <v>1141</v>
      </c>
    </row>
    <row r="894">
      <c r="A894" s="4"/>
      <c r="B894" s="4" t="s">
        <v>1142</v>
      </c>
    </row>
    <row r="895">
      <c r="A895" s="4"/>
      <c r="B895" s="4" t="s">
        <v>1143</v>
      </c>
    </row>
    <row r="896">
      <c r="A896" s="4"/>
      <c r="B896" s="4" t="s">
        <v>1144</v>
      </c>
    </row>
    <row r="897">
      <c r="A897" s="4"/>
      <c r="B897" s="4" t="s">
        <v>1145</v>
      </c>
    </row>
    <row r="898">
      <c r="A898" s="4"/>
      <c r="B898" s="4" t="s">
        <v>1146</v>
      </c>
    </row>
    <row r="899">
      <c r="A899" s="4"/>
      <c r="B899" s="4" t="s">
        <v>1147</v>
      </c>
    </row>
    <row r="900">
      <c r="A900" s="4"/>
      <c r="B900" s="4" t="s">
        <v>1148</v>
      </c>
    </row>
    <row r="901">
      <c r="A901" s="4"/>
      <c r="B901" s="4" t="s">
        <v>1149</v>
      </c>
    </row>
    <row r="902">
      <c r="A902" s="4"/>
      <c r="B902" s="4" t="s">
        <v>1150</v>
      </c>
    </row>
    <row r="903">
      <c r="A903" s="4"/>
      <c r="B903" s="4" t="s">
        <v>1151</v>
      </c>
    </row>
    <row r="904">
      <c r="A904" s="4"/>
      <c r="B904" s="4" t="s">
        <v>1152</v>
      </c>
    </row>
    <row r="905">
      <c r="A905" s="4"/>
      <c r="B905" s="4" t="s">
        <v>1153</v>
      </c>
    </row>
    <row r="906">
      <c r="A906" s="4"/>
      <c r="B906" s="4" t="s">
        <v>1154</v>
      </c>
    </row>
    <row r="907">
      <c r="A907" s="4"/>
      <c r="B907" s="4" t="s">
        <v>1155</v>
      </c>
    </row>
    <row r="908">
      <c r="A908" s="4"/>
      <c r="B908" s="4" t="s">
        <v>1156</v>
      </c>
    </row>
    <row r="909">
      <c r="A909" s="4"/>
      <c r="B909" s="4" t="s">
        <v>1157</v>
      </c>
    </row>
    <row r="910">
      <c r="A910" s="4"/>
      <c r="B910" s="4" t="s">
        <v>1158</v>
      </c>
    </row>
    <row r="911">
      <c r="A911" s="4"/>
      <c r="B911" s="4" t="s">
        <v>1159</v>
      </c>
    </row>
    <row r="912">
      <c r="A912" s="4"/>
      <c r="B912" s="4" t="s">
        <v>1160</v>
      </c>
    </row>
    <row r="913">
      <c r="A913" s="4"/>
      <c r="B913" s="4" t="s">
        <v>1000</v>
      </c>
    </row>
    <row r="914">
      <c r="A914" s="4"/>
      <c r="B914" s="4" t="s">
        <v>1001</v>
      </c>
      <c r="G914" s="4">
        <v>1.0</v>
      </c>
    </row>
    <row r="915">
      <c r="A915" s="4"/>
      <c r="B915" s="4" t="s">
        <v>1002</v>
      </c>
      <c r="G915" s="4">
        <v>1.0</v>
      </c>
    </row>
    <row r="916">
      <c r="A916" s="4"/>
      <c r="B916" s="4" t="s">
        <v>1003</v>
      </c>
    </row>
    <row r="917">
      <c r="A917" s="4"/>
      <c r="B917" s="4" t="s">
        <v>1302</v>
      </c>
      <c r="K917" s="4">
        <v>3.0</v>
      </c>
    </row>
    <row r="918">
      <c r="A918" s="4"/>
      <c r="B918" s="4" t="s">
        <v>1161</v>
      </c>
    </row>
    <row r="919">
      <c r="A919" s="4"/>
      <c r="B919" s="4" t="s">
        <v>1162</v>
      </c>
    </row>
    <row r="920">
      <c r="A920" s="4"/>
      <c r="B920" s="4" t="s">
        <v>1163</v>
      </c>
    </row>
    <row r="921">
      <c r="A921" s="4"/>
      <c r="B921" s="4" t="s">
        <v>1164</v>
      </c>
    </row>
    <row r="922">
      <c r="A922" s="4"/>
      <c r="B922" s="4" t="s">
        <v>1165</v>
      </c>
    </row>
    <row r="923">
      <c r="A923" s="4"/>
      <c r="B923" s="4" t="s">
        <v>1166</v>
      </c>
    </row>
    <row r="924">
      <c r="A924" s="4"/>
      <c r="B924" s="4" t="s">
        <v>1167</v>
      </c>
    </row>
    <row r="925">
      <c r="A925" s="4"/>
      <c r="B925" s="4" t="s">
        <v>1168</v>
      </c>
    </row>
    <row r="926">
      <c r="A926" s="4"/>
      <c r="B926" s="4" t="s">
        <v>1083</v>
      </c>
      <c r="K926" s="4">
        <v>1.0</v>
      </c>
    </row>
    <row r="927">
      <c r="A927" s="4"/>
      <c r="B927" s="4" t="s">
        <v>1169</v>
      </c>
      <c r="K927" s="4">
        <v>2.0</v>
      </c>
    </row>
    <row r="928">
      <c r="A928" s="4"/>
      <c r="B928" s="4" t="s">
        <v>1170</v>
      </c>
    </row>
    <row r="929">
      <c r="A929" s="4"/>
      <c r="B929" s="4" t="s">
        <v>1171</v>
      </c>
    </row>
    <row r="930">
      <c r="A930" s="4"/>
      <c r="B930" s="4" t="s">
        <v>1172</v>
      </c>
    </row>
    <row r="931">
      <c r="A931" s="4"/>
      <c r="B931" s="4" t="s">
        <v>1173</v>
      </c>
    </row>
    <row r="932">
      <c r="A932" s="4"/>
      <c r="B932" s="4" t="s">
        <v>1174</v>
      </c>
    </row>
    <row r="933">
      <c r="A933" s="4"/>
      <c r="B933" s="4" t="s">
        <v>1175</v>
      </c>
    </row>
    <row r="934">
      <c r="A934" s="4"/>
      <c r="B934" s="4" t="s">
        <v>1176</v>
      </c>
    </row>
    <row r="935">
      <c r="A935" s="4"/>
      <c r="B935" s="4" t="s">
        <v>1177</v>
      </c>
    </row>
    <row r="936">
      <c r="A936" s="4"/>
      <c r="B936" s="4" t="s">
        <v>1178</v>
      </c>
    </row>
    <row r="937">
      <c r="A937" s="4"/>
      <c r="B937" s="4" t="s">
        <v>1179</v>
      </c>
      <c r="K937" s="4">
        <v>1.0</v>
      </c>
    </row>
    <row r="938">
      <c r="A938" s="4"/>
      <c r="B938" s="4" t="s">
        <v>1180</v>
      </c>
      <c r="K938" s="4">
        <v>1.0</v>
      </c>
    </row>
    <row r="939">
      <c r="A939" s="4"/>
      <c r="B939" s="4" t="s">
        <v>1181</v>
      </c>
    </row>
    <row r="940">
      <c r="A940" s="4"/>
      <c r="B940" s="4" t="s">
        <v>1091</v>
      </c>
      <c r="K940" s="4">
        <v>3.0</v>
      </c>
    </row>
    <row r="941">
      <c r="A941" s="4"/>
      <c r="B941" s="4" t="s">
        <v>1182</v>
      </c>
    </row>
    <row r="942">
      <c r="A942" s="4"/>
      <c r="B942" s="4" t="s">
        <v>1183</v>
      </c>
    </row>
    <row r="943">
      <c r="A943" s="4"/>
      <c r="B943" s="4" t="s">
        <v>1184</v>
      </c>
    </row>
    <row r="944">
      <c r="A944" s="4"/>
      <c r="B944" s="4" t="s">
        <v>1185</v>
      </c>
    </row>
    <row r="945">
      <c r="A945" s="4"/>
      <c r="B945" s="4" t="s">
        <v>1186</v>
      </c>
      <c r="K945" s="4">
        <v>3.0</v>
      </c>
    </row>
    <row r="946">
      <c r="A946" s="4"/>
      <c r="B946" s="4" t="s">
        <v>1187</v>
      </c>
    </row>
    <row r="947">
      <c r="A947" s="4"/>
      <c r="B947" s="4" t="s">
        <v>1188</v>
      </c>
    </row>
    <row r="948">
      <c r="A948" s="4"/>
      <c r="B948" s="4" t="s">
        <v>1189</v>
      </c>
    </row>
    <row r="949">
      <c r="A949" s="4"/>
      <c r="B949" s="4" t="s">
        <v>1190</v>
      </c>
    </row>
    <row r="950">
      <c r="A950" s="4"/>
      <c r="B950" s="4" t="s">
        <v>1191</v>
      </c>
    </row>
    <row r="951">
      <c r="A951" s="4"/>
      <c r="B951" s="4" t="s">
        <v>1192</v>
      </c>
    </row>
    <row r="952">
      <c r="A952" s="4"/>
      <c r="B952" s="4" t="s">
        <v>1193</v>
      </c>
    </row>
    <row r="953">
      <c r="A953" s="4"/>
      <c r="B953" s="4" t="s">
        <v>1194</v>
      </c>
    </row>
    <row r="954">
      <c r="A954" s="4"/>
      <c r="B954" s="4" t="s">
        <v>1195</v>
      </c>
    </row>
    <row r="955">
      <c r="A955" s="4"/>
      <c r="B955" s="4" t="s">
        <v>1196</v>
      </c>
    </row>
    <row r="956">
      <c r="A956" s="4"/>
      <c r="B956" s="4" t="s">
        <v>1197</v>
      </c>
    </row>
    <row r="957">
      <c r="A957" s="4"/>
      <c r="B957" s="4" t="s">
        <v>1198</v>
      </c>
    </row>
    <row r="958">
      <c r="A958" s="4"/>
      <c r="B958" s="4" t="s">
        <v>1303</v>
      </c>
      <c r="K958" s="4">
        <v>4.0</v>
      </c>
    </row>
    <row r="959">
      <c r="A959" s="4"/>
      <c r="B959" s="4" t="s">
        <v>1199</v>
      </c>
    </row>
    <row r="960">
      <c r="A960" s="4"/>
      <c r="B960" s="4" t="s">
        <v>1200</v>
      </c>
    </row>
    <row r="961">
      <c r="A961" s="4"/>
      <c r="B961" s="4" t="s">
        <v>1201</v>
      </c>
      <c r="K961" s="4">
        <v>1.0</v>
      </c>
    </row>
    <row r="962">
      <c r="A962" s="4"/>
      <c r="B962" s="4" t="s">
        <v>1202</v>
      </c>
    </row>
    <row r="963">
      <c r="A963" s="4"/>
      <c r="B963" s="4" t="s">
        <v>1203</v>
      </c>
    </row>
    <row r="964">
      <c r="A964" s="4"/>
      <c r="B964" s="4" t="s">
        <v>1204</v>
      </c>
    </row>
    <row r="965">
      <c r="A965" s="4"/>
      <c r="B965" s="4" t="s">
        <v>1089</v>
      </c>
      <c r="K965" s="4">
        <v>1.0</v>
      </c>
    </row>
    <row r="966">
      <c r="A966" s="4"/>
      <c r="B966" s="4" t="s">
        <v>1205</v>
      </c>
      <c r="G966" s="4">
        <v>1.0</v>
      </c>
    </row>
    <row r="967">
      <c r="A967" s="4"/>
      <c r="B967" s="4" t="s">
        <v>1206</v>
      </c>
    </row>
    <row r="968">
      <c r="A968" s="4"/>
      <c r="B968" s="4" t="s">
        <v>1207</v>
      </c>
      <c r="K968" s="4"/>
      <c r="AC968" s="4">
        <v>1.0</v>
      </c>
    </row>
    <row r="969">
      <c r="A969" s="4"/>
      <c r="B969" s="4" t="s">
        <v>1208</v>
      </c>
      <c r="K969" s="4">
        <v>1.0</v>
      </c>
    </row>
    <row r="970">
      <c r="A970" s="4"/>
      <c r="B970" s="4" t="s">
        <v>1209</v>
      </c>
    </row>
    <row r="971">
      <c r="A971" s="4"/>
      <c r="B971" s="4" t="s">
        <v>1210</v>
      </c>
    </row>
    <row r="972">
      <c r="A972" s="4"/>
      <c r="B972" s="4" t="s">
        <v>1211</v>
      </c>
    </row>
    <row r="973">
      <c r="A973" s="4"/>
      <c r="B973" s="4" t="s">
        <v>211</v>
      </c>
    </row>
    <row r="974">
      <c r="H974" s="15"/>
      <c r="K974" s="15"/>
    </row>
  </sheetData>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3.5"/>
    <col customWidth="1" min="3" max="3" width="18.13"/>
    <col customWidth="1" min="4" max="4" width="3.5"/>
    <col customWidth="1" min="5" max="5" width="18.0"/>
    <col customWidth="1" min="6" max="6" width="3.13"/>
    <col customWidth="1" min="7" max="7" width="18.75"/>
  </cols>
  <sheetData>
    <row r="1">
      <c r="A1" s="4" t="s">
        <v>1304</v>
      </c>
      <c r="C1" s="4" t="s">
        <v>1305</v>
      </c>
      <c r="E1" s="4" t="s">
        <v>1306</v>
      </c>
      <c r="G1" s="4" t="s">
        <v>1307</v>
      </c>
    </row>
    <row r="2">
      <c r="A2" s="4"/>
      <c r="C2" s="4" t="s">
        <v>1308</v>
      </c>
      <c r="E2" s="4" t="s">
        <v>1308</v>
      </c>
      <c r="G2" s="4" t="s">
        <v>1308</v>
      </c>
    </row>
    <row r="3">
      <c r="A3" s="17" t="s">
        <v>1309</v>
      </c>
    </row>
    <row r="4">
      <c r="A4" s="4" t="s">
        <v>1310</v>
      </c>
      <c r="B4" s="18"/>
      <c r="C4" s="4" t="s">
        <v>1311</v>
      </c>
    </row>
    <row r="5">
      <c r="B5" s="19"/>
      <c r="C5" s="20" t="s">
        <v>1312</v>
      </c>
      <c r="D5" s="18"/>
    </row>
    <row r="6">
      <c r="A6" s="17" t="s">
        <v>1313</v>
      </c>
      <c r="B6" s="21"/>
      <c r="D6" s="19"/>
    </row>
    <row r="7">
      <c r="A7" s="4" t="s">
        <v>1314</v>
      </c>
      <c r="D7" s="19"/>
      <c r="E7" s="4" t="s">
        <v>1315</v>
      </c>
      <c r="F7" s="22"/>
      <c r="G7" s="17" t="s">
        <v>1316</v>
      </c>
    </row>
    <row r="8">
      <c r="D8" s="19"/>
      <c r="E8" s="20" t="s">
        <v>1317</v>
      </c>
      <c r="G8" s="23" t="s">
        <v>1318</v>
      </c>
    </row>
    <row r="9">
      <c r="A9" s="17" t="s">
        <v>1319</v>
      </c>
      <c r="D9" s="19"/>
      <c r="F9" s="18"/>
      <c r="G9" s="23"/>
    </row>
    <row r="10">
      <c r="A10" s="4" t="s">
        <v>1320</v>
      </c>
      <c r="B10" s="18"/>
      <c r="C10" s="4" t="s">
        <v>1321</v>
      </c>
      <c r="D10" s="21"/>
      <c r="F10" s="19"/>
    </row>
    <row r="11">
      <c r="B11" s="19"/>
      <c r="C11" s="20" t="s">
        <v>1322</v>
      </c>
      <c r="F11" s="19"/>
    </row>
    <row r="12">
      <c r="A12" s="17" t="s">
        <v>1323</v>
      </c>
      <c r="B12" s="21"/>
      <c r="F12" s="19"/>
    </row>
    <row r="13">
      <c r="A13" s="4" t="s">
        <v>1324</v>
      </c>
      <c r="F13" s="19"/>
    </row>
    <row r="14">
      <c r="C14" s="4" t="s">
        <v>1325</v>
      </c>
      <c r="E14" s="4" t="s">
        <v>1326</v>
      </c>
      <c r="F14" s="19"/>
    </row>
    <row r="15">
      <c r="C15" s="24" t="s">
        <v>1327</v>
      </c>
      <c r="E15" s="25" t="s">
        <v>1328</v>
      </c>
      <c r="F15" s="19"/>
    </row>
    <row r="16">
      <c r="F16" s="19"/>
    </row>
    <row r="17">
      <c r="C17" s="17" t="s">
        <v>1329</v>
      </c>
      <c r="E17" s="26" t="s">
        <v>1330</v>
      </c>
      <c r="F17" s="27"/>
    </row>
    <row r="18">
      <c r="C18" s="4" t="s">
        <v>1331</v>
      </c>
      <c r="D18" s="18"/>
      <c r="E18" s="26" t="s">
        <v>1332</v>
      </c>
      <c r="F18" s="21"/>
    </row>
    <row r="19">
      <c r="D19" s="19"/>
      <c r="E19" s="23" t="s">
        <v>1333</v>
      </c>
      <c r="F19" s="21"/>
    </row>
    <row r="20">
      <c r="C20" s="17" t="s">
        <v>1334</v>
      </c>
      <c r="D20" s="21"/>
      <c r="E20" s="28" t="s">
        <v>1335</v>
      </c>
    </row>
    <row r="21">
      <c r="C21" s="4" t="s">
        <v>1336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88"/>
    <col customWidth="1" min="2" max="2" width="5.63"/>
    <col customWidth="1" min="3" max="3" width="6.5"/>
    <col customWidth="1" min="4" max="4" width="4.75"/>
    <col customWidth="1" min="5" max="5" width="5.88"/>
    <col customWidth="1" min="6" max="6" width="5.0"/>
    <col customWidth="1" min="7" max="58" width="3.88"/>
  </cols>
  <sheetData>
    <row r="1">
      <c r="A1" s="3">
        <f>SUM(C2:F34)-'2024 все бани'!B4-SUM('2024 все бани'!C1:AI3)</f>
        <v>0</v>
      </c>
      <c r="B1" s="3" t="s">
        <v>2</v>
      </c>
      <c r="C1" s="3" t="s">
        <v>1213</v>
      </c>
      <c r="D1" s="3" t="s">
        <v>1214</v>
      </c>
      <c r="E1" s="3" t="s">
        <v>1215</v>
      </c>
      <c r="F1" s="3" t="s">
        <v>1217</v>
      </c>
      <c r="G1" s="4" t="s">
        <v>1219</v>
      </c>
      <c r="H1" s="4" t="s">
        <v>1220</v>
      </c>
      <c r="I1" s="4" t="s">
        <v>1221</v>
      </c>
      <c r="J1" s="4" t="s">
        <v>1222</v>
      </c>
      <c r="K1" s="4" t="s">
        <v>1223</v>
      </c>
      <c r="L1" s="4" t="s">
        <v>1224</v>
      </c>
      <c r="M1" s="4" t="s">
        <v>1225</v>
      </c>
      <c r="N1" s="4" t="s">
        <v>1226</v>
      </c>
      <c r="O1" s="4" t="s">
        <v>1227</v>
      </c>
      <c r="P1" s="4" t="s">
        <v>1228</v>
      </c>
      <c r="Q1" s="4" t="s">
        <v>1229</v>
      </c>
      <c r="R1" s="4" t="s">
        <v>1230</v>
      </c>
      <c r="S1" s="4" t="s">
        <v>1231</v>
      </c>
      <c r="T1" s="4" t="s">
        <v>1232</v>
      </c>
      <c r="U1" s="4" t="s">
        <v>1233</v>
      </c>
      <c r="V1" s="4" t="s">
        <v>1234</v>
      </c>
      <c r="W1" s="4" t="s">
        <v>1235</v>
      </c>
      <c r="X1" s="4" t="s">
        <v>1236</v>
      </c>
      <c r="Y1" s="4" t="s">
        <v>1237</v>
      </c>
      <c r="Z1" s="4" t="s">
        <v>1238</v>
      </c>
      <c r="AA1" s="4" t="s">
        <v>1239</v>
      </c>
      <c r="AB1" s="4" t="s">
        <v>1240</v>
      </c>
      <c r="AC1" s="4" t="s">
        <v>1241</v>
      </c>
      <c r="AD1" s="4" t="s">
        <v>1242</v>
      </c>
      <c r="AE1" s="4" t="s">
        <v>1243</v>
      </c>
      <c r="AF1" s="4" t="s">
        <v>1244</v>
      </c>
      <c r="AG1" s="4" t="s">
        <v>1245</v>
      </c>
      <c r="AH1" s="4" t="s">
        <v>1246</v>
      </c>
      <c r="AI1" s="4" t="s">
        <v>1247</v>
      </c>
      <c r="AJ1" s="4" t="s">
        <v>1248</v>
      </c>
      <c r="AK1" s="4" t="s">
        <v>1249</v>
      </c>
      <c r="AL1" s="4" t="s">
        <v>1250</v>
      </c>
      <c r="AM1" s="4" t="s">
        <v>1251</v>
      </c>
      <c r="AN1" s="4" t="s">
        <v>1252</v>
      </c>
      <c r="AO1" s="4" t="s">
        <v>1253</v>
      </c>
      <c r="AP1" s="4" t="s">
        <v>1254</v>
      </c>
      <c r="AQ1" s="4" t="s">
        <v>1255</v>
      </c>
      <c r="AR1" s="4" t="s">
        <v>1256</v>
      </c>
      <c r="AS1" s="4" t="s">
        <v>1257</v>
      </c>
      <c r="AT1" s="4" t="s">
        <v>1258</v>
      </c>
      <c r="AU1" s="4" t="s">
        <v>1259</v>
      </c>
      <c r="AV1" s="4" t="s">
        <v>1260</v>
      </c>
      <c r="AW1" s="4" t="s">
        <v>1261</v>
      </c>
      <c r="AX1" s="4" t="s">
        <v>52</v>
      </c>
      <c r="AY1" s="4" t="s">
        <v>10</v>
      </c>
      <c r="AZ1" s="4" t="s">
        <v>11</v>
      </c>
      <c r="BA1" s="4" t="s">
        <v>12</v>
      </c>
      <c r="BB1" s="4" t="s">
        <v>13</v>
      </c>
      <c r="BC1" s="4" t="s">
        <v>14</v>
      </c>
      <c r="BD1" s="4" t="s">
        <v>15</v>
      </c>
      <c r="BE1" s="4" t="s">
        <v>16</v>
      </c>
      <c r="BF1" s="4" t="s">
        <v>17</v>
      </c>
    </row>
    <row r="2">
      <c r="A2" s="4" t="s">
        <v>24</v>
      </c>
      <c r="B2" s="16">
        <f t="shared" ref="B2:B34" si="1">SUM(C2:BF2)</f>
        <v>563.6823954</v>
      </c>
      <c r="C2" s="6">
        <f>VLOOKUP(A2,'2024 недельный зачет'!$A:$B,2,FALSE)</f>
        <v>156</v>
      </c>
      <c r="D2" s="6">
        <f>'2024 все бани'!L3</f>
        <v>102</v>
      </c>
      <c r="E2" s="6">
        <f>'2024 все бани'!L2</f>
        <v>47</v>
      </c>
      <c r="F2" s="6">
        <f>'2024 все бани'!L1</f>
        <v>47</v>
      </c>
      <c r="G2" s="7">
        <v>1.222222222</v>
      </c>
      <c r="H2" s="7">
        <v>10.0</v>
      </c>
      <c r="I2" s="7">
        <v>10.0</v>
      </c>
      <c r="J2" s="7">
        <v>2.5</v>
      </c>
      <c r="K2" s="7">
        <v>2.0</v>
      </c>
      <c r="L2" s="7">
        <v>1.636363636</v>
      </c>
      <c r="M2" s="7">
        <v>10.0</v>
      </c>
      <c r="N2" s="7">
        <v>7.0</v>
      </c>
      <c r="O2" s="7">
        <v>0.4285714286</v>
      </c>
      <c r="P2" s="7">
        <v>0.0</v>
      </c>
      <c r="Q2" s="7">
        <v>10.0</v>
      </c>
      <c r="R2" s="7">
        <f t="shared" ref="R2:R3" si="2">10/3</f>
        <v>3.333333333</v>
      </c>
      <c r="S2" s="4">
        <v>1.2</v>
      </c>
      <c r="T2" s="4">
        <v>7.0</v>
      </c>
      <c r="U2" s="4">
        <v>5.0</v>
      </c>
      <c r="V2" s="4">
        <v>7.0</v>
      </c>
      <c r="W2" s="4">
        <v>0.0</v>
      </c>
      <c r="X2" s="7">
        <v>8.5</v>
      </c>
      <c r="Y2" s="7">
        <f>3/5</f>
        <v>0.6</v>
      </c>
      <c r="Z2" s="7">
        <v>2.0</v>
      </c>
      <c r="AA2" s="7">
        <f>17/4</f>
        <v>4.25</v>
      </c>
      <c r="AB2" s="4">
        <v>0.0</v>
      </c>
      <c r="AC2" s="7">
        <v>3.0</v>
      </c>
      <c r="AD2" s="7">
        <v>8.5</v>
      </c>
      <c r="AE2" s="7">
        <v>8.5</v>
      </c>
      <c r="AF2" s="7">
        <f t="shared" ref="AF2:AF3" si="3">1/7</f>
        <v>0.1428571429</v>
      </c>
      <c r="AG2" s="4">
        <v>0.0</v>
      </c>
      <c r="AH2" s="4">
        <v>6.0</v>
      </c>
      <c r="AI2" s="4">
        <v>10.0</v>
      </c>
      <c r="AJ2" s="4">
        <v>0.0</v>
      </c>
      <c r="AK2" s="7">
        <v>3.0</v>
      </c>
      <c r="AL2" s="7">
        <v>0.0</v>
      </c>
      <c r="AM2" s="7">
        <v>5.0</v>
      </c>
      <c r="AN2" s="7">
        <v>6.0</v>
      </c>
      <c r="AO2" s="7">
        <v>3.333333333</v>
      </c>
      <c r="AP2" s="7">
        <v>7.0</v>
      </c>
      <c r="AQ2" s="7">
        <v>7.0</v>
      </c>
      <c r="AR2" s="7">
        <f>11/7</f>
        <v>1.571428571</v>
      </c>
      <c r="AS2" s="7">
        <v>8.5</v>
      </c>
      <c r="AT2" s="7">
        <v>4.25</v>
      </c>
      <c r="AU2" s="7">
        <f>11/4</f>
        <v>2.75</v>
      </c>
      <c r="AV2" s="7">
        <f>6/7</f>
        <v>0.8571428571</v>
      </c>
      <c r="AW2" s="4">
        <v>8.5</v>
      </c>
      <c r="AX2" s="4">
        <v>0.0</v>
      </c>
      <c r="AY2" s="7">
        <f>17/4</f>
        <v>4.25</v>
      </c>
      <c r="AZ2" s="7">
        <v>6.0</v>
      </c>
      <c r="BA2" s="7">
        <f>6/7</f>
        <v>0.8571428571</v>
      </c>
      <c r="BB2" s="4">
        <v>5.0</v>
      </c>
      <c r="BC2" s="4">
        <v>7.0</v>
      </c>
      <c r="BD2" s="4">
        <v>0.0</v>
      </c>
      <c r="BE2" s="4">
        <v>1.0</v>
      </c>
      <c r="BF2" s="4">
        <v>0.0</v>
      </c>
    </row>
    <row r="3">
      <c r="A3" s="4" t="s">
        <v>19</v>
      </c>
      <c r="B3" s="16">
        <f t="shared" si="1"/>
        <v>510.4981241</v>
      </c>
      <c r="C3" s="29">
        <f>VLOOKUP(A3,'2024 недельный зачет'!$A:$B,2,FALSE)</f>
        <v>129</v>
      </c>
      <c r="D3" s="6">
        <f>'2024 все бани'!F3</f>
        <v>114</v>
      </c>
      <c r="E3" s="6">
        <f>'2024 все бани'!F2</f>
        <v>79</v>
      </c>
      <c r="F3" s="6">
        <f>'2024 все бани'!F1</f>
        <v>37</v>
      </c>
      <c r="G3" s="7">
        <v>10.0</v>
      </c>
      <c r="H3" s="7">
        <v>5.0</v>
      </c>
      <c r="I3" s="7">
        <v>7.0</v>
      </c>
      <c r="J3" s="7">
        <v>2.5</v>
      </c>
      <c r="K3" s="7">
        <v>5.0</v>
      </c>
      <c r="L3" s="7">
        <v>0.0</v>
      </c>
      <c r="M3" s="7">
        <v>0.0</v>
      </c>
      <c r="N3" s="7">
        <v>1.5</v>
      </c>
      <c r="O3" s="7">
        <v>0.4285714286</v>
      </c>
      <c r="P3" s="7">
        <f>6/5</f>
        <v>1.2</v>
      </c>
      <c r="Q3" s="7">
        <f>1/3</f>
        <v>0.3333333333</v>
      </c>
      <c r="R3" s="7">
        <f t="shared" si="2"/>
        <v>3.333333333</v>
      </c>
      <c r="S3" s="7">
        <v>7.333333333</v>
      </c>
      <c r="T3" s="4">
        <v>0.0</v>
      </c>
      <c r="U3" s="4">
        <v>5.0</v>
      </c>
      <c r="V3" s="7">
        <f>1/9</f>
        <v>0.1111111111</v>
      </c>
      <c r="W3" s="7">
        <v>10.0</v>
      </c>
      <c r="X3" s="7">
        <v>8.5</v>
      </c>
      <c r="Y3" s="7">
        <v>8.5</v>
      </c>
      <c r="Z3" s="4">
        <v>0.0</v>
      </c>
      <c r="AA3" s="7">
        <v>0.25</v>
      </c>
      <c r="AB3" s="4">
        <v>6.0</v>
      </c>
      <c r="AC3" s="4">
        <v>0.0</v>
      </c>
      <c r="AD3" s="7">
        <f>1/7</f>
        <v>0.1428571429</v>
      </c>
      <c r="AE3" s="7">
        <f t="shared" ref="AE3:AE7" si="4">3/11</f>
        <v>0.2727272727</v>
      </c>
      <c r="AF3" s="7">
        <f t="shared" si="3"/>
        <v>0.1428571429</v>
      </c>
      <c r="AG3" s="4">
        <v>6.0</v>
      </c>
      <c r="AH3" s="4">
        <v>0.0</v>
      </c>
      <c r="AI3" s="4">
        <v>0.0</v>
      </c>
      <c r="AJ3" s="4">
        <v>5.0</v>
      </c>
      <c r="AK3" s="4">
        <v>0.0</v>
      </c>
      <c r="AL3" s="7">
        <v>0.0</v>
      </c>
      <c r="AM3" s="7">
        <v>10.0</v>
      </c>
      <c r="AN3" s="7">
        <v>10.0</v>
      </c>
      <c r="AO3" s="7">
        <v>3.333333333</v>
      </c>
      <c r="AP3" s="4">
        <v>10.0</v>
      </c>
      <c r="AQ3" s="4">
        <v>10.0</v>
      </c>
      <c r="AR3" s="4">
        <v>0.0</v>
      </c>
      <c r="AS3" s="4">
        <v>0.0</v>
      </c>
      <c r="AT3" s="4">
        <v>0.0</v>
      </c>
      <c r="AU3" s="4">
        <v>0.0</v>
      </c>
      <c r="AV3" s="4">
        <v>0.0</v>
      </c>
      <c r="AW3" s="4">
        <v>0.0</v>
      </c>
      <c r="AX3" s="4">
        <v>0.0</v>
      </c>
      <c r="AY3" s="4">
        <v>0.2</v>
      </c>
      <c r="AZ3" s="4">
        <v>0.0</v>
      </c>
      <c r="BA3" s="7">
        <v>0.0</v>
      </c>
      <c r="BB3" s="7">
        <v>0.0</v>
      </c>
      <c r="BC3" s="7">
        <v>0.0</v>
      </c>
      <c r="BD3" s="7">
        <f>11/12</f>
        <v>0.9166666667</v>
      </c>
      <c r="BE3" s="4">
        <v>5.0</v>
      </c>
      <c r="BF3" s="4">
        <v>8.5</v>
      </c>
    </row>
    <row r="4">
      <c r="A4" s="4" t="s">
        <v>23</v>
      </c>
      <c r="B4" s="16">
        <f t="shared" si="1"/>
        <v>423.3138528</v>
      </c>
      <c r="C4" s="29">
        <f>VLOOKUP(A4,'2024 недельный зачет'!$A:$B,2,FALSE)</f>
        <v>136</v>
      </c>
      <c r="D4" s="6">
        <f>'2024 все бани'!D3</f>
        <v>43</v>
      </c>
      <c r="E4" s="6">
        <f>'2024 все бани'!D2</f>
        <v>12</v>
      </c>
      <c r="F4" s="6">
        <f>'2024 все бани'!D1</f>
        <v>33</v>
      </c>
      <c r="G4" s="7">
        <v>0.0</v>
      </c>
      <c r="H4" s="7">
        <v>2.5</v>
      </c>
      <c r="I4" s="7">
        <v>1.0</v>
      </c>
      <c r="J4" s="7">
        <v>5.0</v>
      </c>
      <c r="K4" s="7">
        <v>2.0</v>
      </c>
      <c r="L4" s="7">
        <v>1.636363636</v>
      </c>
      <c r="M4" s="7">
        <v>0.0</v>
      </c>
      <c r="N4" s="7">
        <v>5.0</v>
      </c>
      <c r="O4" s="7">
        <v>5.0</v>
      </c>
      <c r="P4" s="7">
        <v>6.0</v>
      </c>
      <c r="Q4" s="7">
        <v>2.5</v>
      </c>
      <c r="R4" s="7">
        <v>8.5</v>
      </c>
      <c r="S4" s="7">
        <v>7.333333333</v>
      </c>
      <c r="T4" s="4">
        <v>4.0</v>
      </c>
      <c r="U4" s="4">
        <v>0.0</v>
      </c>
      <c r="V4" s="4">
        <v>10.0</v>
      </c>
      <c r="W4" s="4">
        <v>0.0</v>
      </c>
      <c r="X4" s="7">
        <v>2.5</v>
      </c>
      <c r="Y4" s="7">
        <v>4.0</v>
      </c>
      <c r="Z4" s="7">
        <v>2.0</v>
      </c>
      <c r="AA4" s="4">
        <v>0.0</v>
      </c>
      <c r="AB4" s="7">
        <v>6.0</v>
      </c>
      <c r="AC4" s="7">
        <v>3.0</v>
      </c>
      <c r="AD4" s="7">
        <v>5.0</v>
      </c>
      <c r="AE4" s="7">
        <f t="shared" si="4"/>
        <v>0.2727272727</v>
      </c>
      <c r="AF4" s="4">
        <v>8.5</v>
      </c>
      <c r="AG4" s="4">
        <v>6.0</v>
      </c>
      <c r="AH4" s="4">
        <v>10.0</v>
      </c>
      <c r="AI4" s="4">
        <v>0.0</v>
      </c>
      <c r="AJ4" s="7">
        <v>8.5</v>
      </c>
      <c r="AK4" s="4">
        <v>0.5</v>
      </c>
      <c r="AL4" s="4">
        <v>1.0</v>
      </c>
      <c r="AM4" s="4">
        <v>0.0</v>
      </c>
      <c r="AN4" s="7">
        <v>2.0</v>
      </c>
      <c r="AO4" s="7">
        <f>1/4</f>
        <v>0.25</v>
      </c>
      <c r="AP4" s="7">
        <v>2.75</v>
      </c>
      <c r="AQ4" s="7">
        <f>1/6</f>
        <v>0.1666666667</v>
      </c>
      <c r="AR4" s="7">
        <f t="shared" ref="AR4:AR5" si="5">11/7</f>
        <v>1.571428571</v>
      </c>
      <c r="AS4" s="7">
        <v>8.5</v>
      </c>
      <c r="AT4" s="7">
        <v>4.25</v>
      </c>
      <c r="AU4" s="7">
        <f t="shared" ref="AU4:AU5" si="6">11/4</f>
        <v>2.75</v>
      </c>
      <c r="AV4" s="7">
        <f>22/3</f>
        <v>7.333333333</v>
      </c>
      <c r="AW4" s="4">
        <v>4.0</v>
      </c>
      <c r="AX4" s="4">
        <v>10.0</v>
      </c>
      <c r="AY4" s="4">
        <v>0.0</v>
      </c>
      <c r="AZ4" s="4">
        <v>0.0</v>
      </c>
      <c r="BA4" s="4">
        <v>8.5</v>
      </c>
      <c r="BB4" s="4">
        <v>5.0</v>
      </c>
      <c r="BC4" s="4">
        <v>5.0</v>
      </c>
      <c r="BD4" s="4">
        <v>7.0</v>
      </c>
      <c r="BE4" s="4">
        <v>10.0</v>
      </c>
      <c r="BF4" s="4">
        <v>2.5</v>
      </c>
    </row>
    <row r="5">
      <c r="A5" s="4" t="s">
        <v>18</v>
      </c>
      <c r="B5" s="16">
        <f t="shared" si="1"/>
        <v>400.6626623</v>
      </c>
      <c r="C5" s="29">
        <f>VLOOKUP(A5,'2024 недельный зачет'!$A:$B,2,FALSE)</f>
        <v>114</v>
      </c>
      <c r="D5" s="6">
        <f>'2024 все бани'!E3</f>
        <v>68</v>
      </c>
      <c r="E5" s="6">
        <f>'2024 все бани'!E2</f>
        <v>41</v>
      </c>
      <c r="F5" s="6">
        <f>'2024 все бани'!E1</f>
        <v>43</v>
      </c>
      <c r="G5" s="7">
        <v>1.222222222</v>
      </c>
      <c r="H5" s="7">
        <v>2.5</v>
      </c>
      <c r="I5" s="7">
        <v>1.0</v>
      </c>
      <c r="J5" s="7">
        <v>1.0</v>
      </c>
      <c r="K5" s="7">
        <v>8.5</v>
      </c>
      <c r="L5" s="7">
        <v>1.636363636</v>
      </c>
      <c r="M5" s="7">
        <v>5.0</v>
      </c>
      <c r="N5" s="7">
        <v>0.0</v>
      </c>
      <c r="O5" s="7">
        <v>0.0</v>
      </c>
      <c r="P5" s="7">
        <v>0.0</v>
      </c>
      <c r="Q5" s="7">
        <v>6.0</v>
      </c>
      <c r="R5" s="7">
        <f>1/3</f>
        <v>0.3333333333</v>
      </c>
      <c r="S5" s="7">
        <v>0.0</v>
      </c>
      <c r="T5" s="7">
        <f>1/5</f>
        <v>0.2</v>
      </c>
      <c r="U5" s="7">
        <v>5.0</v>
      </c>
      <c r="V5" s="7">
        <f t="shared" ref="V5:V7" si="7">1/9</f>
        <v>0.1111111111</v>
      </c>
      <c r="W5" s="7">
        <v>2.0</v>
      </c>
      <c r="X5" s="7">
        <f t="shared" ref="X5:X6" si="8">1/3</f>
        <v>0.3333333333</v>
      </c>
      <c r="Y5" s="7">
        <v>8.5</v>
      </c>
      <c r="Z5" s="7">
        <v>2.0</v>
      </c>
      <c r="AA5" s="4">
        <v>0.0</v>
      </c>
      <c r="AB5" s="4">
        <v>0.0</v>
      </c>
      <c r="AC5" s="7">
        <v>10.0</v>
      </c>
      <c r="AD5" s="7">
        <f>1/7</f>
        <v>0.1428571429</v>
      </c>
      <c r="AE5" s="7">
        <f t="shared" si="4"/>
        <v>0.2727272727</v>
      </c>
      <c r="AF5" s="4">
        <v>8.5</v>
      </c>
      <c r="AG5" s="4">
        <v>0.0</v>
      </c>
      <c r="AH5" s="4">
        <v>0.0</v>
      </c>
      <c r="AI5" s="4">
        <v>0.0</v>
      </c>
      <c r="AJ5" s="7">
        <v>8.5</v>
      </c>
      <c r="AK5" s="7">
        <v>6.0</v>
      </c>
      <c r="AL5" s="7">
        <v>10.0</v>
      </c>
      <c r="AM5" s="7">
        <v>5.0</v>
      </c>
      <c r="AN5" s="7">
        <v>0.0</v>
      </c>
      <c r="AO5" s="7">
        <v>8.5</v>
      </c>
      <c r="AP5" s="7">
        <v>0.0</v>
      </c>
      <c r="AQ5" s="7">
        <f>10/3</f>
        <v>3.333333333</v>
      </c>
      <c r="AR5" s="7">
        <f t="shared" si="5"/>
        <v>1.571428571</v>
      </c>
      <c r="AS5" s="4">
        <v>0.0</v>
      </c>
      <c r="AT5" s="7">
        <v>0.0</v>
      </c>
      <c r="AU5" s="7">
        <f t="shared" si="6"/>
        <v>2.75</v>
      </c>
      <c r="AV5" s="7">
        <f>6/7</f>
        <v>0.8571428571</v>
      </c>
      <c r="AW5" s="4">
        <v>0.0</v>
      </c>
      <c r="AX5" s="7">
        <v>2.0</v>
      </c>
      <c r="AY5" s="7">
        <f>17/4</f>
        <v>4.25</v>
      </c>
      <c r="AZ5" s="7">
        <v>2.0</v>
      </c>
      <c r="BA5" s="7">
        <f t="shared" ref="BA5:BA7" si="9">6/7</f>
        <v>0.8571428571</v>
      </c>
      <c r="BB5" s="7">
        <f>3/8</f>
        <v>0.375</v>
      </c>
      <c r="BC5" s="7">
        <v>0.0</v>
      </c>
      <c r="BD5" s="7">
        <f t="shared" ref="BD5:BD6" si="10">11/12</f>
        <v>0.9166666667</v>
      </c>
      <c r="BE5" s="4">
        <v>5.0</v>
      </c>
      <c r="BF5" s="4">
        <v>8.5</v>
      </c>
    </row>
    <row r="6">
      <c r="A6" s="4" t="s">
        <v>26</v>
      </c>
      <c r="B6" s="16">
        <f t="shared" si="1"/>
        <v>321.3917749</v>
      </c>
      <c r="C6" s="29">
        <f>VLOOKUP(A6,'2024 недельный зачет'!$A:$B,2,FALSE)</f>
        <v>83</v>
      </c>
      <c r="D6" s="6">
        <f>'2024 все бани'!C3</f>
        <v>56</v>
      </c>
      <c r="E6" s="6">
        <f>'2024 все бани'!C2</f>
        <v>32</v>
      </c>
      <c r="F6" s="6">
        <f>'2024 все бани'!C1</f>
        <v>49</v>
      </c>
      <c r="G6" s="7">
        <v>1.222222222</v>
      </c>
      <c r="H6" s="7">
        <v>0.0</v>
      </c>
      <c r="I6" s="7">
        <v>1.0</v>
      </c>
      <c r="J6" s="7">
        <v>0.0</v>
      </c>
      <c r="K6" s="7">
        <v>0.0</v>
      </c>
      <c r="L6" s="7">
        <v>10.0</v>
      </c>
      <c r="M6" s="7">
        <v>0.0</v>
      </c>
      <c r="N6" s="7">
        <v>0.0</v>
      </c>
      <c r="O6" s="7">
        <v>0.4285714286</v>
      </c>
      <c r="P6" s="7">
        <v>0.0</v>
      </c>
      <c r="Q6" s="7">
        <v>6.0</v>
      </c>
      <c r="R6" s="4">
        <v>0.0</v>
      </c>
      <c r="S6" s="7">
        <v>7.333333333</v>
      </c>
      <c r="T6" s="4">
        <v>4.0</v>
      </c>
      <c r="U6" s="4">
        <v>0.0</v>
      </c>
      <c r="V6" s="7">
        <f t="shared" si="7"/>
        <v>0.1111111111</v>
      </c>
      <c r="W6" s="4">
        <v>0.0</v>
      </c>
      <c r="X6" s="7">
        <f t="shared" si="8"/>
        <v>0.3333333333</v>
      </c>
      <c r="Y6" s="4">
        <v>0.0</v>
      </c>
      <c r="Z6" s="7">
        <v>8.5</v>
      </c>
      <c r="AA6" s="7">
        <v>0.25</v>
      </c>
      <c r="AB6" s="4">
        <v>2.0</v>
      </c>
      <c r="AC6" s="4">
        <v>0.0</v>
      </c>
      <c r="AD6" s="4">
        <v>0.0</v>
      </c>
      <c r="AE6" s="7">
        <f t="shared" si="4"/>
        <v>0.2727272727</v>
      </c>
      <c r="AF6" s="4">
        <v>0.0</v>
      </c>
      <c r="AG6" s="4">
        <v>1.0</v>
      </c>
      <c r="AH6" s="4">
        <v>0.0</v>
      </c>
      <c r="AI6" s="4">
        <v>0.0</v>
      </c>
      <c r="AJ6" s="4">
        <v>0.0</v>
      </c>
      <c r="AK6" s="7">
        <v>6.0</v>
      </c>
      <c r="AL6" s="7">
        <v>0.0</v>
      </c>
      <c r="AM6" s="4">
        <v>0.0</v>
      </c>
      <c r="AN6" s="7">
        <v>0.0</v>
      </c>
      <c r="AO6" s="7">
        <v>0.0</v>
      </c>
      <c r="AP6" s="7">
        <v>2.75</v>
      </c>
      <c r="AQ6" s="7">
        <f t="shared" ref="AQ6:AQ7" si="11">1/6</f>
        <v>0.1666666667</v>
      </c>
      <c r="AR6" s="4">
        <v>0.0</v>
      </c>
      <c r="AS6" s="4">
        <v>0.0</v>
      </c>
      <c r="AT6" s="7">
        <v>4.25</v>
      </c>
      <c r="AU6" s="4">
        <v>8.5</v>
      </c>
      <c r="AV6" s="4">
        <v>0.0</v>
      </c>
      <c r="AW6" s="4">
        <v>8.5</v>
      </c>
      <c r="AX6" s="4">
        <v>0.0</v>
      </c>
      <c r="AY6" s="7">
        <v>10.0</v>
      </c>
      <c r="AZ6" s="7">
        <v>6.0</v>
      </c>
      <c r="BA6" s="7">
        <f t="shared" si="9"/>
        <v>0.8571428571</v>
      </c>
      <c r="BB6" s="7">
        <v>10.0</v>
      </c>
      <c r="BC6" s="7">
        <v>1.0</v>
      </c>
      <c r="BD6" s="7">
        <f t="shared" si="10"/>
        <v>0.9166666667</v>
      </c>
      <c r="BE6" s="4">
        <v>0.0</v>
      </c>
      <c r="BF6" s="4">
        <v>0.0</v>
      </c>
    </row>
    <row r="7">
      <c r="A7" s="4" t="s">
        <v>32</v>
      </c>
      <c r="B7" s="16">
        <f t="shared" si="1"/>
        <v>293.5666306</v>
      </c>
      <c r="C7" s="29">
        <f>VLOOKUP(A7,'2024 недельный зачет'!$A:$B,2,FALSE)</f>
        <v>110</v>
      </c>
      <c r="D7" s="6">
        <f>'2024 все бани'!J3</f>
        <v>15</v>
      </c>
      <c r="E7" s="6">
        <f>'2024 все бани'!J2</f>
        <v>6</v>
      </c>
      <c r="F7" s="6">
        <f>'2024 все бани'!J1</f>
        <v>16</v>
      </c>
      <c r="G7" s="7">
        <v>7.0</v>
      </c>
      <c r="H7" s="7">
        <v>0.2</v>
      </c>
      <c r="I7" s="7">
        <v>0.0</v>
      </c>
      <c r="J7" s="7">
        <v>0.0</v>
      </c>
      <c r="K7" s="7">
        <v>0.0</v>
      </c>
      <c r="L7" s="7">
        <v>1.636363636</v>
      </c>
      <c r="M7" s="7">
        <v>0.0</v>
      </c>
      <c r="N7" s="7">
        <v>1.5</v>
      </c>
      <c r="O7" s="7">
        <v>5.0</v>
      </c>
      <c r="P7" s="7">
        <f>6/5</f>
        <v>1.2</v>
      </c>
      <c r="Q7" s="7">
        <f t="shared" ref="Q7:Q8" si="12">1/3</f>
        <v>0.3333333333</v>
      </c>
      <c r="R7" s="7">
        <v>8.5</v>
      </c>
      <c r="S7" s="4">
        <v>1.2</v>
      </c>
      <c r="T7" s="7">
        <v>0.0</v>
      </c>
      <c r="U7" s="7">
        <v>0.75</v>
      </c>
      <c r="V7" s="7">
        <f t="shared" si="7"/>
        <v>0.1111111111</v>
      </c>
      <c r="W7" s="4">
        <v>0.0</v>
      </c>
      <c r="X7" s="4">
        <v>0.0</v>
      </c>
      <c r="Y7" s="4">
        <v>0.0</v>
      </c>
      <c r="Z7" s="4">
        <v>0.0</v>
      </c>
      <c r="AA7" s="4">
        <v>0.0</v>
      </c>
      <c r="AB7" s="4">
        <v>0.0</v>
      </c>
      <c r="AC7" s="7">
        <v>3.0</v>
      </c>
      <c r="AD7" s="7">
        <f>1/7</f>
        <v>0.1428571429</v>
      </c>
      <c r="AE7" s="7">
        <f t="shared" si="4"/>
        <v>0.2727272727</v>
      </c>
      <c r="AF7" s="7">
        <f t="shared" ref="AF7:AF8" si="13">10/3</f>
        <v>3.333333333</v>
      </c>
      <c r="AG7" s="7">
        <v>10.0</v>
      </c>
      <c r="AH7" s="7">
        <v>6.0</v>
      </c>
      <c r="AI7" s="7">
        <v>1.0</v>
      </c>
      <c r="AJ7" s="7">
        <v>1.5</v>
      </c>
      <c r="AK7" s="7">
        <v>10.0</v>
      </c>
      <c r="AL7" s="7">
        <f>10/3</f>
        <v>3.333333333</v>
      </c>
      <c r="AM7" s="7">
        <v>5.0</v>
      </c>
      <c r="AN7" s="7">
        <v>2.0</v>
      </c>
      <c r="AO7" s="7">
        <v>8.5</v>
      </c>
      <c r="AP7" s="7">
        <v>0.0</v>
      </c>
      <c r="AQ7" s="7">
        <f t="shared" si="11"/>
        <v>0.1666666667</v>
      </c>
      <c r="AR7" s="7">
        <f>11/7</f>
        <v>1.571428571</v>
      </c>
      <c r="AS7" s="7">
        <f>11/4</f>
        <v>2.75</v>
      </c>
      <c r="AT7" s="7">
        <v>0.5</v>
      </c>
      <c r="AU7" s="7">
        <f>11/4</f>
        <v>2.75</v>
      </c>
      <c r="AV7" s="7">
        <f>22/3</f>
        <v>7.333333333</v>
      </c>
      <c r="AW7" s="7">
        <v>1.0</v>
      </c>
      <c r="AX7" s="7">
        <v>6.0</v>
      </c>
      <c r="AY7" s="7">
        <f>17/4</f>
        <v>4.25</v>
      </c>
      <c r="AZ7" s="7">
        <v>10.0</v>
      </c>
      <c r="BA7" s="7">
        <f t="shared" si="9"/>
        <v>0.8571428571</v>
      </c>
      <c r="BB7" s="7">
        <f t="shared" ref="BB7:BB8" si="14">3/8</f>
        <v>0.375</v>
      </c>
      <c r="BC7" s="4">
        <v>10.0</v>
      </c>
      <c r="BD7" s="4">
        <v>10.0</v>
      </c>
      <c r="BE7" s="4">
        <v>5.0</v>
      </c>
      <c r="BF7" s="4">
        <v>2.5</v>
      </c>
    </row>
    <row r="8">
      <c r="A8" s="4" t="s">
        <v>20</v>
      </c>
      <c r="B8" s="16">
        <f t="shared" si="1"/>
        <v>292.4972222</v>
      </c>
      <c r="C8" s="29">
        <f>VLOOKUP(A8,'2024 недельный зачет'!$A:$B,2,FALSE)</f>
        <v>75</v>
      </c>
      <c r="D8" s="6">
        <f>'2024 все бани'!H3</f>
        <v>67</v>
      </c>
      <c r="E8" s="6">
        <f>'2024 все бани'!H2</f>
        <v>42</v>
      </c>
      <c r="F8" s="6">
        <f>'2024 все бани'!H1</f>
        <v>46</v>
      </c>
      <c r="G8" s="7">
        <v>1.222222222</v>
      </c>
      <c r="H8" s="7">
        <v>0.2</v>
      </c>
      <c r="I8" s="7">
        <v>1.0</v>
      </c>
      <c r="J8" s="7">
        <v>0.0</v>
      </c>
      <c r="K8" s="7">
        <v>0.0</v>
      </c>
      <c r="L8" s="7">
        <v>0.0</v>
      </c>
      <c r="M8" s="7">
        <v>0.0</v>
      </c>
      <c r="N8" s="7">
        <v>0.0</v>
      </c>
      <c r="O8" s="7">
        <v>0.0</v>
      </c>
      <c r="P8" s="7">
        <v>0.0</v>
      </c>
      <c r="Q8" s="7">
        <f t="shared" si="12"/>
        <v>0.3333333333</v>
      </c>
      <c r="R8" s="4">
        <v>0.0</v>
      </c>
      <c r="S8" s="7">
        <v>0.0</v>
      </c>
      <c r="T8" s="7">
        <f>1/5</f>
        <v>0.2</v>
      </c>
      <c r="U8" s="4">
        <v>0.0</v>
      </c>
      <c r="V8" s="4">
        <v>2.5</v>
      </c>
      <c r="W8" s="4">
        <v>6.0</v>
      </c>
      <c r="X8" s="4">
        <v>0.0</v>
      </c>
      <c r="Y8" s="4">
        <v>0.0</v>
      </c>
      <c r="Z8" s="4">
        <v>0.0</v>
      </c>
      <c r="AA8" s="7">
        <v>0.25</v>
      </c>
      <c r="AB8" s="7">
        <f>1/3</f>
        <v>0.3333333333</v>
      </c>
      <c r="AC8" s="7">
        <v>3.0</v>
      </c>
      <c r="AD8" s="4">
        <v>0.0</v>
      </c>
      <c r="AE8" s="7">
        <v>4.0</v>
      </c>
      <c r="AF8" s="7">
        <f t="shared" si="13"/>
        <v>3.333333333</v>
      </c>
      <c r="AG8" s="4">
        <v>0.0</v>
      </c>
      <c r="AH8" s="4">
        <v>1.5</v>
      </c>
      <c r="AI8" s="4">
        <v>0.0</v>
      </c>
      <c r="AJ8" s="7">
        <v>1.5</v>
      </c>
      <c r="AK8" s="4">
        <v>0.0</v>
      </c>
      <c r="AL8" s="7">
        <v>7.0</v>
      </c>
      <c r="AM8" s="7">
        <v>1.5</v>
      </c>
      <c r="AN8" s="7">
        <v>2.0</v>
      </c>
      <c r="AO8" s="7">
        <f>1/4</f>
        <v>0.25</v>
      </c>
      <c r="AP8" s="7">
        <v>0.0</v>
      </c>
      <c r="AQ8" s="7">
        <v>0.0</v>
      </c>
      <c r="AR8" s="7">
        <v>8.5</v>
      </c>
      <c r="AS8" s="4">
        <v>0.0</v>
      </c>
      <c r="AT8" s="4">
        <v>0.0</v>
      </c>
      <c r="AU8" s="4">
        <v>8.5</v>
      </c>
      <c r="AV8" s="4">
        <v>0.0</v>
      </c>
      <c r="AW8" s="4">
        <v>4.0</v>
      </c>
      <c r="AX8" s="4">
        <v>2.0</v>
      </c>
      <c r="AY8" s="4">
        <v>0.0</v>
      </c>
      <c r="AZ8" s="7">
        <v>2.0</v>
      </c>
      <c r="BA8" s="7">
        <v>0.0</v>
      </c>
      <c r="BB8" s="7">
        <f t="shared" si="14"/>
        <v>0.375</v>
      </c>
      <c r="BC8" s="4">
        <v>1.0</v>
      </c>
      <c r="BD8" s="4">
        <v>0.0</v>
      </c>
      <c r="BE8" s="4">
        <v>0.0</v>
      </c>
      <c r="BF8" s="4">
        <v>0.0</v>
      </c>
    </row>
    <row r="9">
      <c r="A9" s="4" t="s">
        <v>31</v>
      </c>
      <c r="B9" s="16">
        <f t="shared" si="1"/>
        <v>268.0452381</v>
      </c>
      <c r="C9" s="29">
        <f>VLOOKUP(A9,'2024 недельный зачет'!$A:$B,2,FALSE)</f>
        <v>88</v>
      </c>
      <c r="D9" s="6">
        <f>'2024 все бани'!K3</f>
        <v>42</v>
      </c>
      <c r="E9" s="6">
        <f>'2024 все бани'!K2</f>
        <v>22</v>
      </c>
      <c r="F9" s="6">
        <f>'2024 все бани'!K1</f>
        <v>20</v>
      </c>
      <c r="G9" s="7">
        <v>0.0</v>
      </c>
      <c r="H9" s="7">
        <v>0.0</v>
      </c>
      <c r="I9" s="7">
        <v>1.0</v>
      </c>
      <c r="J9" s="7">
        <v>0.0</v>
      </c>
      <c r="K9" s="7">
        <v>0.0</v>
      </c>
      <c r="L9" s="7">
        <v>0.0</v>
      </c>
      <c r="M9" s="7">
        <v>0.0</v>
      </c>
      <c r="N9" s="7">
        <v>0.0</v>
      </c>
      <c r="O9" s="7">
        <v>0.4285714286</v>
      </c>
      <c r="P9" s="7">
        <f>6/5</f>
        <v>1.2</v>
      </c>
      <c r="Q9" s="4">
        <v>0.0</v>
      </c>
      <c r="R9" s="4">
        <v>0.0</v>
      </c>
      <c r="S9" s="4">
        <v>0.0</v>
      </c>
      <c r="T9" s="4">
        <v>0.0</v>
      </c>
      <c r="U9" s="7">
        <v>0.75</v>
      </c>
      <c r="V9" s="4">
        <v>5.0</v>
      </c>
      <c r="W9" s="4">
        <v>6.0</v>
      </c>
      <c r="X9" s="7">
        <f>1/3</f>
        <v>0.3333333333</v>
      </c>
      <c r="Y9" s="7">
        <v>4.0</v>
      </c>
      <c r="Z9" s="7">
        <v>5.0</v>
      </c>
      <c r="AA9" s="7">
        <f t="shared" ref="AA9:AA10" si="15">17/4</f>
        <v>4.25</v>
      </c>
      <c r="AB9" s="7">
        <v>3.0</v>
      </c>
      <c r="AC9" s="7">
        <v>3.0</v>
      </c>
      <c r="AD9" s="4">
        <v>2.5</v>
      </c>
      <c r="AE9" s="4">
        <v>4.0</v>
      </c>
      <c r="AF9" s="4">
        <v>0.0</v>
      </c>
      <c r="AG9" s="4">
        <v>1.0</v>
      </c>
      <c r="AH9" s="4">
        <v>1.5</v>
      </c>
      <c r="AI9" s="7">
        <v>7.0</v>
      </c>
      <c r="AJ9" s="7">
        <v>1.5</v>
      </c>
      <c r="AK9" s="4">
        <v>0.5</v>
      </c>
      <c r="AL9" s="7">
        <v>0.0</v>
      </c>
      <c r="AM9" s="4">
        <v>0.0</v>
      </c>
      <c r="AN9" s="7">
        <v>6.0</v>
      </c>
      <c r="AO9" s="7">
        <v>0.0</v>
      </c>
      <c r="AP9" s="7">
        <v>2.75</v>
      </c>
      <c r="AQ9" s="7">
        <f>10/3</f>
        <v>3.333333333</v>
      </c>
      <c r="AR9" s="7">
        <v>8.5</v>
      </c>
      <c r="AS9" s="7">
        <f>11/4</f>
        <v>2.75</v>
      </c>
      <c r="AT9" s="4">
        <v>0.0</v>
      </c>
      <c r="AU9" s="4">
        <v>0.0</v>
      </c>
      <c r="AV9" s="4">
        <v>0.0</v>
      </c>
      <c r="AW9" s="7">
        <v>1.0</v>
      </c>
      <c r="AX9" s="4">
        <v>0.0</v>
      </c>
      <c r="AY9" s="7">
        <f>17/4</f>
        <v>4.25</v>
      </c>
      <c r="AZ9" s="7">
        <v>2.0</v>
      </c>
      <c r="BA9" s="4">
        <v>8.5</v>
      </c>
      <c r="BB9" s="4">
        <v>5.0</v>
      </c>
      <c r="BC9" s="7">
        <v>0.0</v>
      </c>
      <c r="BD9" s="7">
        <v>0.0</v>
      </c>
      <c r="BE9" s="7">
        <v>0.0</v>
      </c>
      <c r="BF9" s="7">
        <v>0.0</v>
      </c>
    </row>
    <row r="10">
      <c r="A10" s="4" t="s">
        <v>22</v>
      </c>
      <c r="B10" s="16">
        <f t="shared" si="1"/>
        <v>235.3507576</v>
      </c>
      <c r="C10" s="29">
        <f>VLOOKUP(A10,'2024 недельный зачет'!$A:$B,2,FALSE)</f>
        <v>72</v>
      </c>
      <c r="D10" s="6">
        <f>'2024 все бани'!G3</f>
        <v>53</v>
      </c>
      <c r="E10" s="6">
        <f>'2024 все бани'!G2</f>
        <v>36</v>
      </c>
      <c r="F10" s="6">
        <f>'2024 все бани'!G1</f>
        <v>14</v>
      </c>
      <c r="G10" s="7">
        <v>1.222222222</v>
      </c>
      <c r="H10" s="7">
        <v>0.2</v>
      </c>
      <c r="I10" s="7">
        <v>0.0</v>
      </c>
      <c r="J10" s="7">
        <v>7.0</v>
      </c>
      <c r="K10" s="7">
        <v>0.0</v>
      </c>
      <c r="L10" s="7">
        <v>1.636363636</v>
      </c>
      <c r="M10" s="7">
        <v>0.0</v>
      </c>
      <c r="N10" s="7">
        <v>1.5</v>
      </c>
      <c r="O10" s="4">
        <v>0.0</v>
      </c>
      <c r="P10" s="4">
        <v>10.0</v>
      </c>
      <c r="Q10" s="4">
        <v>0.0</v>
      </c>
      <c r="R10" s="7">
        <f>10/3</f>
        <v>3.333333333</v>
      </c>
      <c r="S10" s="4">
        <v>0.0</v>
      </c>
      <c r="T10" s="4">
        <v>2.0</v>
      </c>
      <c r="U10" s="4">
        <v>0.0</v>
      </c>
      <c r="V10" s="7">
        <f t="shared" ref="V10:V12" si="16">1/9</f>
        <v>0.1111111111</v>
      </c>
      <c r="W10" s="4">
        <v>0.0</v>
      </c>
      <c r="X10" s="4">
        <v>5.0</v>
      </c>
      <c r="Y10" s="4">
        <v>0.0</v>
      </c>
      <c r="Z10" s="4">
        <v>0.0</v>
      </c>
      <c r="AA10" s="7">
        <f t="shared" si="15"/>
        <v>4.25</v>
      </c>
      <c r="AB10" s="7">
        <f>1/3</f>
        <v>0.3333333333</v>
      </c>
      <c r="AC10" s="7">
        <v>3.0</v>
      </c>
      <c r="AD10" s="4">
        <v>0.0</v>
      </c>
      <c r="AE10" s="7">
        <f t="shared" ref="AE10:AE11" si="17">3/11</f>
        <v>0.2727272727</v>
      </c>
      <c r="AF10" s="7">
        <f>1/7</f>
        <v>0.1428571429</v>
      </c>
      <c r="AG10" s="4">
        <v>1.0</v>
      </c>
      <c r="AH10" s="4">
        <v>0.0</v>
      </c>
      <c r="AI10" s="4">
        <v>0.0</v>
      </c>
      <c r="AJ10" s="4">
        <v>0.0</v>
      </c>
      <c r="AK10" s="4">
        <v>0.0</v>
      </c>
      <c r="AL10" s="7">
        <v>0.0</v>
      </c>
      <c r="AM10" s="4">
        <v>0.0</v>
      </c>
      <c r="AN10" s="4">
        <v>0.0</v>
      </c>
      <c r="AO10" s="7">
        <f>1/4</f>
        <v>0.25</v>
      </c>
      <c r="AP10" s="7">
        <v>2.75</v>
      </c>
      <c r="AQ10" s="7">
        <v>0.0</v>
      </c>
      <c r="AR10" s="4">
        <v>0.0</v>
      </c>
      <c r="AS10" s="4">
        <v>0.0</v>
      </c>
      <c r="AT10" s="7">
        <v>0.0</v>
      </c>
      <c r="AU10" s="7">
        <v>0.0</v>
      </c>
      <c r="AV10" s="7">
        <f>6/7</f>
        <v>0.8571428571</v>
      </c>
      <c r="AW10" s="4">
        <v>0.0</v>
      </c>
      <c r="AX10" s="4">
        <v>2.0</v>
      </c>
      <c r="AY10" s="4">
        <v>0.2</v>
      </c>
      <c r="AZ10" s="4">
        <v>0.0</v>
      </c>
      <c r="BA10" s="7">
        <v>5.0</v>
      </c>
      <c r="BB10" s="7">
        <f>3/8</f>
        <v>0.375</v>
      </c>
      <c r="BC10" s="7">
        <v>1.0</v>
      </c>
      <c r="BD10" s="7">
        <f>11/12</f>
        <v>0.9166666667</v>
      </c>
      <c r="BE10" s="4">
        <v>1.0</v>
      </c>
      <c r="BF10" s="4">
        <v>5.0</v>
      </c>
    </row>
    <row r="11">
      <c r="A11" s="4" t="s">
        <v>28</v>
      </c>
      <c r="B11" s="16">
        <f t="shared" si="1"/>
        <v>204.9686147</v>
      </c>
      <c r="C11" s="29">
        <f>VLOOKUP(A11,'2024 недельный зачет'!$A:$B,2,FALSE)</f>
        <v>63</v>
      </c>
      <c r="D11" s="6">
        <f>'2024 все бани'!AH3</f>
        <v>53</v>
      </c>
      <c r="E11" s="6">
        <f>'2024 все бани'!AH2</f>
        <v>24</v>
      </c>
      <c r="F11" s="6">
        <f>'2024 все бани'!AH1</f>
        <v>19</v>
      </c>
      <c r="G11" s="7">
        <v>1.222222222</v>
      </c>
      <c r="H11" s="7">
        <v>7.0</v>
      </c>
      <c r="I11" s="7">
        <v>5.0</v>
      </c>
      <c r="J11" s="7">
        <v>10.0</v>
      </c>
      <c r="K11" s="7">
        <v>2.0</v>
      </c>
      <c r="L11" s="7">
        <v>1.636363636</v>
      </c>
      <c r="M11" s="7">
        <v>5.0</v>
      </c>
      <c r="N11" s="7">
        <v>0.0</v>
      </c>
      <c r="O11" s="7">
        <v>10.0</v>
      </c>
      <c r="P11" s="7">
        <v>0.0</v>
      </c>
      <c r="Q11" s="7">
        <v>2.5</v>
      </c>
      <c r="R11" s="7">
        <f>1/3</f>
        <v>0.3333333333</v>
      </c>
      <c r="S11" s="4">
        <v>0.0</v>
      </c>
      <c r="T11" s="4">
        <v>0.0</v>
      </c>
      <c r="U11" s="7">
        <v>0.75</v>
      </c>
      <c r="V11" s="7">
        <f t="shared" si="16"/>
        <v>0.1111111111</v>
      </c>
      <c r="W11" s="4">
        <v>0.0</v>
      </c>
      <c r="X11" s="4">
        <v>0.0</v>
      </c>
      <c r="Y11" s="4">
        <v>0.0</v>
      </c>
      <c r="Z11" s="4">
        <v>0.0</v>
      </c>
      <c r="AA11" s="4">
        <v>0.0</v>
      </c>
      <c r="AB11" s="4">
        <v>0.0</v>
      </c>
      <c r="AC11" s="4">
        <v>0.0</v>
      </c>
      <c r="AD11" s="7">
        <f>1/7</f>
        <v>0.1428571429</v>
      </c>
      <c r="AE11" s="7">
        <f t="shared" si="17"/>
        <v>0.2727272727</v>
      </c>
      <c r="AF11" s="4">
        <v>0.0</v>
      </c>
      <c r="AG11" s="4">
        <v>0.0</v>
      </c>
      <c r="AH11" s="4">
        <v>0.0</v>
      </c>
      <c r="AI11" s="4">
        <v>0.0</v>
      </c>
      <c r="AJ11" s="4">
        <v>0.0</v>
      </c>
      <c r="AK11" s="4">
        <v>0.0</v>
      </c>
      <c r="AL11" s="7">
        <v>0.0</v>
      </c>
      <c r="AM11" s="4">
        <v>0.0</v>
      </c>
      <c r="AN11" s="4">
        <v>0.0</v>
      </c>
      <c r="AO11" s="4">
        <v>0.0</v>
      </c>
      <c r="AP11" s="4">
        <v>0.0</v>
      </c>
      <c r="AQ11" s="4">
        <v>0.0</v>
      </c>
      <c r="AR11" s="4">
        <v>0.0</v>
      </c>
      <c r="AS11" s="4">
        <v>0.0</v>
      </c>
      <c r="AT11" s="4">
        <v>0.0</v>
      </c>
      <c r="AU11" s="4">
        <v>0.0</v>
      </c>
      <c r="AV11" s="4">
        <v>0.0</v>
      </c>
      <c r="AW11" s="4">
        <v>0.0</v>
      </c>
      <c r="AX11" s="4">
        <v>0.0</v>
      </c>
      <c r="AY11" s="4">
        <v>0.0</v>
      </c>
      <c r="AZ11" s="4">
        <v>0.0</v>
      </c>
      <c r="BA11" s="4">
        <v>0.0</v>
      </c>
      <c r="BB11" s="4">
        <v>0.0</v>
      </c>
      <c r="BC11" s="4">
        <v>0.0</v>
      </c>
      <c r="BD11" s="4">
        <v>0.0</v>
      </c>
      <c r="BE11" s="4">
        <v>0.0</v>
      </c>
      <c r="BF11" s="4">
        <v>0.0</v>
      </c>
    </row>
    <row r="12">
      <c r="A12" s="4" t="s">
        <v>35</v>
      </c>
      <c r="B12" s="16">
        <f t="shared" si="1"/>
        <v>201.51057</v>
      </c>
      <c r="C12" s="29">
        <f>VLOOKUP(A12,'2024 недельный зачет'!$A:$B,2,FALSE)</f>
        <v>68</v>
      </c>
      <c r="D12" s="6">
        <f>'2024 все бани'!I3</f>
        <v>36</v>
      </c>
      <c r="E12" s="6">
        <f>'2024 все бани'!I2</f>
        <v>14</v>
      </c>
      <c r="F12" s="6">
        <f>'2024 все бани'!I1</f>
        <v>19</v>
      </c>
      <c r="G12" s="7">
        <v>0.0</v>
      </c>
      <c r="H12" s="7">
        <v>0.0</v>
      </c>
      <c r="I12" s="7">
        <v>0.0</v>
      </c>
      <c r="J12" s="7">
        <v>0.0</v>
      </c>
      <c r="K12" s="7">
        <v>0.0</v>
      </c>
      <c r="L12" s="7">
        <v>1.636363636</v>
      </c>
      <c r="M12" s="7">
        <v>0.0</v>
      </c>
      <c r="N12" s="7">
        <v>0.0</v>
      </c>
      <c r="O12" s="7">
        <v>0.4285714286</v>
      </c>
      <c r="P12" s="7">
        <v>0.0</v>
      </c>
      <c r="Q12" s="4">
        <v>0.0</v>
      </c>
      <c r="R12" s="4">
        <v>0.0</v>
      </c>
      <c r="S12" s="4">
        <v>1.2</v>
      </c>
      <c r="T12" s="4">
        <v>0.0</v>
      </c>
      <c r="U12" s="7">
        <v>10.0</v>
      </c>
      <c r="V12" s="7">
        <f t="shared" si="16"/>
        <v>0.1111111111</v>
      </c>
      <c r="W12" s="4">
        <v>0.0</v>
      </c>
      <c r="X12" s="4">
        <v>0.0</v>
      </c>
      <c r="Y12" s="4">
        <v>0.0</v>
      </c>
      <c r="Z12" s="7">
        <v>8.5</v>
      </c>
      <c r="AA12" s="4">
        <v>10.0</v>
      </c>
      <c r="AB12" s="4">
        <v>0.0</v>
      </c>
      <c r="AC12" s="4">
        <v>0.0</v>
      </c>
      <c r="AD12" s="7">
        <v>8.5</v>
      </c>
      <c r="AE12" s="7">
        <v>8.5</v>
      </c>
      <c r="AF12" s="7">
        <f>1/7</f>
        <v>0.1428571429</v>
      </c>
      <c r="AG12" s="4">
        <v>1.0</v>
      </c>
      <c r="AH12" s="4">
        <v>0.0</v>
      </c>
      <c r="AI12" s="4">
        <v>0.0</v>
      </c>
      <c r="AJ12" s="4">
        <v>0.0</v>
      </c>
      <c r="AK12" s="4">
        <v>0.0</v>
      </c>
      <c r="AL12" s="7">
        <v>0.0</v>
      </c>
      <c r="AM12" s="4">
        <v>0.0</v>
      </c>
      <c r="AN12" s="4">
        <v>0.0</v>
      </c>
      <c r="AO12" s="7">
        <v>0.0</v>
      </c>
      <c r="AP12" s="7">
        <v>0.0</v>
      </c>
      <c r="AQ12" s="7">
        <f>1/6</f>
        <v>0.1666666667</v>
      </c>
      <c r="AR12" s="4">
        <v>0.0</v>
      </c>
      <c r="AS12" s="7">
        <f>11/4</f>
        <v>2.75</v>
      </c>
      <c r="AT12" s="4">
        <v>10.0</v>
      </c>
      <c r="AU12" s="4">
        <v>0.0</v>
      </c>
      <c r="AV12" s="4">
        <v>0.0</v>
      </c>
      <c r="AW12" s="4">
        <v>0.0</v>
      </c>
      <c r="AX12" s="4">
        <v>0.0</v>
      </c>
      <c r="AY12" s="4">
        <v>0.2</v>
      </c>
      <c r="AZ12" s="4">
        <v>0.0</v>
      </c>
      <c r="BA12" s="7">
        <v>0.0</v>
      </c>
      <c r="BB12" s="7">
        <f>3/8</f>
        <v>0.375</v>
      </c>
      <c r="BC12" s="4">
        <v>1.0</v>
      </c>
      <c r="BD12" s="4">
        <v>0.0</v>
      </c>
      <c r="BE12" s="4">
        <v>0.0</v>
      </c>
      <c r="BF12" s="4">
        <v>0.0</v>
      </c>
    </row>
    <row r="13">
      <c r="A13" s="4" t="s">
        <v>21</v>
      </c>
      <c r="B13" s="16">
        <f t="shared" si="1"/>
        <v>127.0419192</v>
      </c>
      <c r="C13" s="29">
        <f>VLOOKUP(A13,'2024 недельный зачет'!$A:$B,2,FALSE)</f>
        <v>53</v>
      </c>
      <c r="D13" s="6">
        <f>'2024 все бани'!AF3</f>
        <v>14</v>
      </c>
      <c r="E13" s="6">
        <f>'2024 все бани'!AF2</f>
        <v>5</v>
      </c>
      <c r="F13" s="6">
        <f>'2024 все бани'!AF1</f>
        <v>13</v>
      </c>
      <c r="G13" s="7">
        <v>1.222222222</v>
      </c>
      <c r="H13" s="7">
        <v>0.2</v>
      </c>
      <c r="I13" s="7">
        <v>1.0</v>
      </c>
      <c r="J13" s="7">
        <v>0.0</v>
      </c>
      <c r="K13" s="7">
        <v>8.5</v>
      </c>
      <c r="L13" s="7">
        <v>1.636363636</v>
      </c>
      <c r="M13" s="7">
        <v>5.0</v>
      </c>
      <c r="N13" s="7">
        <v>10.0</v>
      </c>
      <c r="O13" s="7">
        <v>5.0</v>
      </c>
      <c r="P13" s="7">
        <v>0.0</v>
      </c>
      <c r="Q13" s="4">
        <v>0.0</v>
      </c>
      <c r="R13" s="7">
        <f>1/3</f>
        <v>0.3333333333</v>
      </c>
      <c r="S13" s="4">
        <v>1.2</v>
      </c>
      <c r="T13" s="7">
        <f>1/5</f>
        <v>0.2</v>
      </c>
      <c r="U13" s="7">
        <v>0.75</v>
      </c>
      <c r="V13" s="4">
        <v>2.5</v>
      </c>
      <c r="W13" s="7">
        <v>2.0</v>
      </c>
      <c r="X13" s="7">
        <v>2.5</v>
      </c>
      <c r="Y13" s="4">
        <v>0.0</v>
      </c>
      <c r="Z13" s="4">
        <v>0.0</v>
      </c>
      <c r="AA13" s="4">
        <v>0.0</v>
      </c>
      <c r="AB13" s="4">
        <v>0.0</v>
      </c>
      <c r="AC13" s="4">
        <v>0.0</v>
      </c>
      <c r="AD13" s="4">
        <v>0.0</v>
      </c>
      <c r="AE13" s="4">
        <v>0.0</v>
      </c>
      <c r="AF13" s="4">
        <v>0.0</v>
      </c>
      <c r="AG13" s="4">
        <v>0.0</v>
      </c>
      <c r="AH13" s="4">
        <v>0.0</v>
      </c>
      <c r="AI13" s="4">
        <v>0.0</v>
      </c>
      <c r="AJ13" s="4">
        <v>0.0</v>
      </c>
      <c r="AK13" s="4">
        <v>0.0</v>
      </c>
      <c r="AL13" s="7">
        <v>0.0</v>
      </c>
      <c r="AM13" s="4">
        <v>0.0</v>
      </c>
      <c r="AN13" s="4">
        <v>0.0</v>
      </c>
      <c r="AO13" s="4">
        <v>0.0</v>
      </c>
      <c r="AP13" s="4">
        <v>0.0</v>
      </c>
      <c r="AQ13" s="4">
        <v>0.0</v>
      </c>
      <c r="AR13" s="4">
        <v>0.0</v>
      </c>
      <c r="AS13" s="4">
        <v>0.0</v>
      </c>
      <c r="AT13" s="4">
        <v>0.0</v>
      </c>
      <c r="AU13" s="4">
        <v>0.0</v>
      </c>
      <c r="AV13" s="4">
        <v>0.0</v>
      </c>
      <c r="AW13" s="4">
        <v>0.0</v>
      </c>
      <c r="AX13" s="4">
        <v>0.0</v>
      </c>
      <c r="AY13" s="4">
        <v>0.0</v>
      </c>
      <c r="AZ13" s="4">
        <v>0.0</v>
      </c>
      <c r="BA13" s="4">
        <v>0.0</v>
      </c>
      <c r="BB13" s="4">
        <v>0.0</v>
      </c>
      <c r="BC13" s="4">
        <v>0.0</v>
      </c>
      <c r="BD13" s="4">
        <v>0.0</v>
      </c>
      <c r="BE13" s="4">
        <v>0.0</v>
      </c>
      <c r="BF13" s="4">
        <v>0.0</v>
      </c>
    </row>
    <row r="14">
      <c r="A14" s="4" t="s">
        <v>25</v>
      </c>
      <c r="B14" s="16">
        <f t="shared" si="1"/>
        <v>113.5598846</v>
      </c>
      <c r="C14" s="29">
        <f>VLOOKUP(A14,'2024 недельный зачет'!$A:$B,2,FALSE)</f>
        <v>41</v>
      </c>
      <c r="D14" s="6">
        <f>'2024 все бани'!Z3</f>
        <v>27</v>
      </c>
      <c r="E14" s="6">
        <f>'2024 все бани'!Z2</f>
        <v>11</v>
      </c>
      <c r="F14" s="6">
        <f>'2024 все бани'!Z1</f>
        <v>21</v>
      </c>
      <c r="G14" s="7">
        <v>1.222222222</v>
      </c>
      <c r="H14" s="7">
        <v>0.2</v>
      </c>
      <c r="I14" s="7">
        <v>0.0</v>
      </c>
      <c r="J14" s="7">
        <v>0.0</v>
      </c>
      <c r="K14" s="7">
        <v>0.0</v>
      </c>
      <c r="L14" s="7">
        <v>1.636363636</v>
      </c>
      <c r="M14" s="7">
        <v>0.0</v>
      </c>
      <c r="N14" s="7">
        <v>0.0</v>
      </c>
      <c r="O14" s="7">
        <v>0.4285714286</v>
      </c>
      <c r="P14" s="7">
        <f>6/5</f>
        <v>1.2</v>
      </c>
      <c r="Q14" s="4">
        <v>0.0</v>
      </c>
      <c r="R14" s="4">
        <v>0.0</v>
      </c>
      <c r="S14" s="4">
        <v>0.0</v>
      </c>
      <c r="T14" s="4">
        <v>0.0</v>
      </c>
      <c r="U14" s="4">
        <v>0.0</v>
      </c>
      <c r="V14" s="4">
        <v>0.0</v>
      </c>
      <c r="W14" s="4">
        <v>0.0</v>
      </c>
      <c r="X14" s="4">
        <v>0.0</v>
      </c>
      <c r="Y14" s="7">
        <f t="shared" ref="Y14:Y17" si="18">3/5</f>
        <v>0.6</v>
      </c>
      <c r="Z14" s="4">
        <v>0.0</v>
      </c>
      <c r="AA14" s="4">
        <v>0.0</v>
      </c>
      <c r="AB14" s="7">
        <f>1/3</f>
        <v>0.3333333333</v>
      </c>
      <c r="AC14" s="4">
        <v>0.0</v>
      </c>
      <c r="AD14" s="4">
        <v>0.0</v>
      </c>
      <c r="AE14" s="7">
        <f>3/11</f>
        <v>0.2727272727</v>
      </c>
      <c r="AF14" s="7">
        <f>10/3</f>
        <v>3.333333333</v>
      </c>
      <c r="AG14" s="4">
        <v>0.0</v>
      </c>
      <c r="AH14" s="4">
        <v>0.0</v>
      </c>
      <c r="AI14" s="4">
        <v>0.0</v>
      </c>
      <c r="AJ14" s="4">
        <v>0.0</v>
      </c>
      <c r="AK14" s="4">
        <v>0.5</v>
      </c>
      <c r="AL14" s="7">
        <v>0.0</v>
      </c>
      <c r="AM14" s="4">
        <v>0.0</v>
      </c>
      <c r="AN14" s="4">
        <v>0.0</v>
      </c>
      <c r="AO14" s="4">
        <v>0.0</v>
      </c>
      <c r="AP14" s="7">
        <v>0.0</v>
      </c>
      <c r="AQ14" s="7">
        <f>1/6</f>
        <v>0.1666666667</v>
      </c>
      <c r="AR14" s="4">
        <v>0.0</v>
      </c>
      <c r="AS14" s="7">
        <f>11/4</f>
        <v>2.75</v>
      </c>
      <c r="AT14" s="4">
        <v>0.0</v>
      </c>
      <c r="AU14" s="4">
        <v>0.0</v>
      </c>
      <c r="AV14" s="4">
        <v>0.0</v>
      </c>
      <c r="AW14" s="4">
        <v>0.0</v>
      </c>
      <c r="AX14" s="4">
        <v>0.0</v>
      </c>
      <c r="AY14" s="4">
        <v>0.0</v>
      </c>
      <c r="AZ14" s="4">
        <v>0.0</v>
      </c>
      <c r="BA14" s="7">
        <v>0.0</v>
      </c>
      <c r="BB14" s="7">
        <v>0.0</v>
      </c>
      <c r="BC14" s="7">
        <v>0.0</v>
      </c>
      <c r="BD14" s="7">
        <f t="shared" ref="BD14:BD16" si="19">11/12</f>
        <v>0.9166666667</v>
      </c>
      <c r="BE14" s="4">
        <v>0.0</v>
      </c>
      <c r="BF14" s="4">
        <v>0.0</v>
      </c>
    </row>
    <row r="15">
      <c r="A15" s="4" t="s">
        <v>36</v>
      </c>
      <c r="B15" s="16">
        <f t="shared" si="1"/>
        <v>91.99087302</v>
      </c>
      <c r="C15" s="29">
        <f>VLOOKUP(A15,'2024 недельный зачет'!$A:$B,2,FALSE)</f>
        <v>38</v>
      </c>
      <c r="D15" s="6">
        <f>+'2024 все бани'!M3</f>
        <v>18</v>
      </c>
      <c r="E15" s="6">
        <f>'2024 все бани'!M2</f>
        <v>11</v>
      </c>
      <c r="F15" s="4">
        <f>'2024 все бани'!M1</f>
        <v>1</v>
      </c>
      <c r="G15" s="7">
        <v>0.0</v>
      </c>
      <c r="H15" s="7">
        <v>0.0</v>
      </c>
      <c r="I15" s="7">
        <v>0.0</v>
      </c>
      <c r="J15" s="7">
        <v>0.0</v>
      </c>
      <c r="K15" s="7">
        <v>0.0</v>
      </c>
      <c r="L15" s="7">
        <v>0.0</v>
      </c>
      <c r="M15" s="7">
        <v>0.0</v>
      </c>
      <c r="N15" s="7">
        <v>0.0</v>
      </c>
      <c r="O15" s="7">
        <v>0.0</v>
      </c>
      <c r="P15" s="7">
        <v>6.0</v>
      </c>
      <c r="Q15" s="4">
        <v>0.0</v>
      </c>
      <c r="R15" s="4">
        <v>0.0</v>
      </c>
      <c r="S15" s="4">
        <v>0.0</v>
      </c>
      <c r="T15" s="4">
        <v>0.0</v>
      </c>
      <c r="U15" s="4">
        <v>0.0</v>
      </c>
      <c r="V15" s="7">
        <f>1/9</f>
        <v>0.1111111111</v>
      </c>
      <c r="W15" s="7">
        <v>2.0</v>
      </c>
      <c r="X15" s="4">
        <v>0.0</v>
      </c>
      <c r="Y15" s="7">
        <f t="shared" si="18"/>
        <v>0.6</v>
      </c>
      <c r="Z15" s="4">
        <v>0.0</v>
      </c>
      <c r="AA15" s="7">
        <v>0.25</v>
      </c>
      <c r="AB15" s="4">
        <v>0.0</v>
      </c>
      <c r="AC15" s="4">
        <v>0.0</v>
      </c>
      <c r="AD15" s="4">
        <v>2.5</v>
      </c>
      <c r="AE15" s="4">
        <v>0.0</v>
      </c>
      <c r="AF15" s="4">
        <v>0.0</v>
      </c>
      <c r="AG15" s="4">
        <v>1.0</v>
      </c>
      <c r="AH15" s="4">
        <v>1.5</v>
      </c>
      <c r="AI15" s="7">
        <f>10/3</f>
        <v>3.333333333</v>
      </c>
      <c r="AJ15" s="4">
        <v>0.0</v>
      </c>
      <c r="AK15" s="4">
        <v>0.5</v>
      </c>
      <c r="AL15" s="7">
        <f>10/3</f>
        <v>3.333333333</v>
      </c>
      <c r="AM15" s="4">
        <v>0.0</v>
      </c>
      <c r="AN15" s="4">
        <v>0.0</v>
      </c>
      <c r="AO15" s="4">
        <v>0.0</v>
      </c>
      <c r="AP15" s="4">
        <v>0.0</v>
      </c>
      <c r="AQ15" s="4">
        <v>0.0</v>
      </c>
      <c r="AR15" s="7">
        <f>11/7</f>
        <v>1.571428571</v>
      </c>
      <c r="AS15" s="4">
        <v>0.0</v>
      </c>
      <c r="AT15" s="4">
        <v>0.0</v>
      </c>
      <c r="AU15" s="4">
        <v>0.0</v>
      </c>
      <c r="AV15" s="4">
        <v>0.0</v>
      </c>
      <c r="AW15" s="4">
        <v>0.0</v>
      </c>
      <c r="AX15" s="4">
        <v>0.0</v>
      </c>
      <c r="AY15" s="4">
        <v>0.0</v>
      </c>
      <c r="AZ15" s="4">
        <v>0.0</v>
      </c>
      <c r="BA15" s="7">
        <v>0.0</v>
      </c>
      <c r="BB15" s="7">
        <f>3/8</f>
        <v>0.375</v>
      </c>
      <c r="BC15" s="7">
        <v>0.0</v>
      </c>
      <c r="BD15" s="7">
        <f t="shared" si="19"/>
        <v>0.9166666667</v>
      </c>
      <c r="BE15" s="4">
        <v>0.0</v>
      </c>
      <c r="BF15" s="4">
        <v>0.0</v>
      </c>
    </row>
    <row r="16">
      <c r="A16" s="4" t="s">
        <v>34</v>
      </c>
      <c r="B16" s="16">
        <f t="shared" si="1"/>
        <v>87.64285714</v>
      </c>
      <c r="C16" s="29">
        <f>VLOOKUP(A16,'2024 недельный зачет'!$A:$B,2,FALSE)</f>
        <v>42</v>
      </c>
      <c r="D16" s="6">
        <f>'2024 все бани'!N3</f>
        <v>17</v>
      </c>
      <c r="E16" s="6">
        <f>'2024 все бани'!N2</f>
        <v>3</v>
      </c>
      <c r="F16" s="6">
        <f>'2024 все бани'!N1</f>
        <v>5</v>
      </c>
      <c r="G16" s="7">
        <v>0.0</v>
      </c>
      <c r="H16" s="7">
        <v>0.0</v>
      </c>
      <c r="I16" s="7">
        <v>0.0</v>
      </c>
      <c r="J16" s="7">
        <v>0.0</v>
      </c>
      <c r="K16" s="7">
        <v>0.0</v>
      </c>
      <c r="L16" s="7">
        <v>0.0</v>
      </c>
      <c r="M16" s="7">
        <v>0.0</v>
      </c>
      <c r="N16" s="7">
        <v>0.0</v>
      </c>
      <c r="O16" s="7">
        <v>0.0</v>
      </c>
      <c r="P16" s="7">
        <v>0.0</v>
      </c>
      <c r="Q16" s="4">
        <v>0.0</v>
      </c>
      <c r="R16" s="4">
        <v>0.0</v>
      </c>
      <c r="S16" s="4">
        <v>1.2</v>
      </c>
      <c r="T16" s="7">
        <f>1/5</f>
        <v>0.2</v>
      </c>
      <c r="U16" s="4">
        <v>0.0</v>
      </c>
      <c r="V16" s="4">
        <v>0.0</v>
      </c>
      <c r="W16" s="4">
        <v>0.0</v>
      </c>
      <c r="X16" s="4">
        <v>0.0</v>
      </c>
      <c r="Y16" s="7">
        <f t="shared" si="18"/>
        <v>0.6</v>
      </c>
      <c r="Z16" s="4">
        <v>0.0</v>
      </c>
      <c r="AA16" s="4">
        <v>0.0</v>
      </c>
      <c r="AB16" s="4">
        <v>0.0</v>
      </c>
      <c r="AC16" s="4">
        <v>0.0</v>
      </c>
      <c r="AD16" s="7">
        <f>1/7</f>
        <v>0.1428571429</v>
      </c>
      <c r="AE16" s="4">
        <v>0.0</v>
      </c>
      <c r="AF16" s="7">
        <f t="shared" ref="AF16:AF17" si="20">1/7</f>
        <v>0.1428571429</v>
      </c>
      <c r="AG16" s="4">
        <v>0.0</v>
      </c>
      <c r="AH16" s="4">
        <v>0.0</v>
      </c>
      <c r="AI16" s="4">
        <v>0.0</v>
      </c>
      <c r="AJ16" s="7">
        <v>1.5</v>
      </c>
      <c r="AK16" s="4">
        <v>0.0</v>
      </c>
      <c r="AL16" s="7">
        <v>0.0</v>
      </c>
      <c r="AM16" s="4">
        <v>0.0</v>
      </c>
      <c r="AN16" s="4">
        <v>0.0</v>
      </c>
      <c r="AO16" s="7">
        <f>1/4</f>
        <v>0.25</v>
      </c>
      <c r="AP16" s="4">
        <v>0.0</v>
      </c>
      <c r="AQ16" s="4">
        <v>0.0</v>
      </c>
      <c r="AR16" s="4">
        <v>0.0</v>
      </c>
      <c r="AS16" s="4">
        <v>0.0</v>
      </c>
      <c r="AT16" s="4">
        <v>0.0</v>
      </c>
      <c r="AU16" s="4">
        <v>0.0</v>
      </c>
      <c r="AV16" s="7">
        <f>22/3</f>
        <v>7.333333333</v>
      </c>
      <c r="AW16" s="4">
        <v>0.0</v>
      </c>
      <c r="AX16" s="4">
        <v>6.0</v>
      </c>
      <c r="AY16" s="4">
        <v>0.0</v>
      </c>
      <c r="AZ16" s="4">
        <v>0.0</v>
      </c>
      <c r="BA16" s="7">
        <f>6/7</f>
        <v>0.8571428571</v>
      </c>
      <c r="BB16" s="7">
        <v>0.0</v>
      </c>
      <c r="BC16" s="7">
        <v>1.0</v>
      </c>
      <c r="BD16" s="7">
        <f t="shared" si="19"/>
        <v>0.9166666667</v>
      </c>
      <c r="BE16" s="4">
        <v>0.0</v>
      </c>
      <c r="BF16" s="4">
        <v>0.5</v>
      </c>
    </row>
    <row r="17">
      <c r="A17" s="4" t="s">
        <v>46</v>
      </c>
      <c r="B17" s="16">
        <f t="shared" si="1"/>
        <v>81.31861472</v>
      </c>
      <c r="C17" s="29">
        <f>VLOOKUP(A17,'2024 недельный зачет'!$A:$B,2,FALSE)</f>
        <v>32</v>
      </c>
      <c r="D17" s="6">
        <f>'2024 все бани'!AG3</f>
        <v>13</v>
      </c>
      <c r="E17" s="6">
        <f>'2024 все бани'!AG2</f>
        <v>8</v>
      </c>
      <c r="F17" s="6">
        <f>'2024 все бани'!AG1</f>
        <v>13</v>
      </c>
      <c r="G17" s="7">
        <v>0.0</v>
      </c>
      <c r="H17" s="7">
        <v>0.0</v>
      </c>
      <c r="I17" s="7">
        <v>0.0</v>
      </c>
      <c r="J17" s="7">
        <v>0.0</v>
      </c>
      <c r="K17" s="7">
        <v>0.0</v>
      </c>
      <c r="L17" s="7">
        <v>1.636363636</v>
      </c>
      <c r="M17" s="7">
        <v>1.5</v>
      </c>
      <c r="N17" s="7">
        <v>1.5</v>
      </c>
      <c r="O17" s="7">
        <v>0.0</v>
      </c>
      <c r="P17" s="7">
        <v>0.0</v>
      </c>
      <c r="Q17" s="4">
        <v>0.0</v>
      </c>
      <c r="R17" s="4">
        <v>0.0</v>
      </c>
      <c r="S17" s="4">
        <v>0.0</v>
      </c>
      <c r="T17" s="4">
        <v>0.0</v>
      </c>
      <c r="U17" s="4">
        <v>0.0</v>
      </c>
      <c r="V17" s="4">
        <v>0.0</v>
      </c>
      <c r="W17" s="4">
        <v>0.0</v>
      </c>
      <c r="X17" s="4">
        <v>0.0</v>
      </c>
      <c r="Y17" s="7">
        <f t="shared" si="18"/>
        <v>0.6</v>
      </c>
      <c r="Z17" s="4">
        <v>0.0</v>
      </c>
      <c r="AA17" s="4">
        <v>0.0</v>
      </c>
      <c r="AB17" s="4">
        <v>0.0</v>
      </c>
      <c r="AC17" s="4">
        <v>0.0</v>
      </c>
      <c r="AD17" s="4">
        <v>0.0</v>
      </c>
      <c r="AE17" s="7">
        <f t="shared" ref="AE17:AE18" si="21">3/11</f>
        <v>0.2727272727</v>
      </c>
      <c r="AF17" s="7">
        <f t="shared" si="20"/>
        <v>0.1428571429</v>
      </c>
      <c r="AG17" s="4">
        <v>0.0</v>
      </c>
      <c r="AH17" s="4">
        <v>1.5</v>
      </c>
      <c r="AI17" s="7">
        <f>10/3</f>
        <v>3.333333333</v>
      </c>
      <c r="AJ17" s="4">
        <v>0.0</v>
      </c>
      <c r="AK17" s="4">
        <v>0.0</v>
      </c>
      <c r="AL17" s="7">
        <f>10/3</f>
        <v>3.333333333</v>
      </c>
      <c r="AM17" s="7">
        <v>1.5</v>
      </c>
      <c r="AN17" s="4">
        <v>0.0</v>
      </c>
      <c r="AO17" s="4">
        <v>0.0</v>
      </c>
      <c r="AP17" s="4">
        <v>0.0</v>
      </c>
      <c r="AQ17" s="4">
        <v>0.0</v>
      </c>
      <c r="AR17" s="4">
        <v>0.0</v>
      </c>
      <c r="AS17" s="4">
        <v>0.0</v>
      </c>
      <c r="AT17" s="4">
        <v>0.0</v>
      </c>
      <c r="AU17" s="4">
        <v>0.0</v>
      </c>
      <c r="AV17" s="4">
        <v>0.0</v>
      </c>
      <c r="AW17" s="4">
        <v>0.0</v>
      </c>
      <c r="AX17" s="4">
        <v>0.0</v>
      </c>
      <c r="AY17" s="4">
        <v>0.0</v>
      </c>
      <c r="AZ17" s="4">
        <v>0.0</v>
      </c>
      <c r="BA17" s="4">
        <v>0.0</v>
      </c>
      <c r="BB17" s="4">
        <v>0.0</v>
      </c>
      <c r="BC17" s="4">
        <v>0.0</v>
      </c>
      <c r="BD17" s="4">
        <v>0.0</v>
      </c>
      <c r="BE17" s="4">
        <v>0.0</v>
      </c>
      <c r="BF17" s="4">
        <v>0.0</v>
      </c>
    </row>
    <row r="18">
      <c r="A18" s="4" t="s">
        <v>1262</v>
      </c>
      <c r="B18" s="16">
        <f t="shared" si="1"/>
        <v>65.98860029</v>
      </c>
      <c r="C18" s="29">
        <f>VLOOKUP(A18,'2024 недельный зачет'!$A:$B,2,FALSE)</f>
        <v>25</v>
      </c>
      <c r="D18" s="6">
        <f>'2024 все бани'!Q3</f>
        <v>15</v>
      </c>
      <c r="E18" s="6">
        <f>'2024 все бани'!Q2</f>
        <v>7</v>
      </c>
      <c r="F18" s="6">
        <f>'2024 все бани'!Q1</f>
        <v>12</v>
      </c>
      <c r="G18" s="7">
        <v>0.0</v>
      </c>
      <c r="H18" s="7">
        <v>0.0</v>
      </c>
      <c r="I18" s="7">
        <v>0.0</v>
      </c>
      <c r="J18" s="7">
        <v>0.0</v>
      </c>
      <c r="K18" s="7">
        <v>0.0</v>
      </c>
      <c r="L18" s="7">
        <v>0.0</v>
      </c>
      <c r="M18" s="7">
        <v>0.0</v>
      </c>
      <c r="N18" s="7">
        <v>0.0</v>
      </c>
      <c r="O18" s="7">
        <v>0.0</v>
      </c>
      <c r="P18" s="7">
        <v>0.0</v>
      </c>
      <c r="Q18" s="4">
        <v>0.0</v>
      </c>
      <c r="R18" s="4">
        <v>0.0</v>
      </c>
      <c r="S18" s="4">
        <v>0.0</v>
      </c>
      <c r="T18" s="7">
        <f>1/5</f>
        <v>0.2</v>
      </c>
      <c r="U18" s="4">
        <v>0.0</v>
      </c>
      <c r="V18" s="7">
        <f>1/9</f>
        <v>0.1111111111</v>
      </c>
      <c r="W18" s="4">
        <v>0.0</v>
      </c>
      <c r="X18" s="4">
        <v>0.0</v>
      </c>
      <c r="Y18" s="4">
        <v>0.0</v>
      </c>
      <c r="Z18" s="4">
        <v>0.0</v>
      </c>
      <c r="AA18" s="4">
        <v>0.0</v>
      </c>
      <c r="AB18" s="4">
        <v>0.0</v>
      </c>
      <c r="AC18" s="4">
        <v>0.0</v>
      </c>
      <c r="AD18" s="7">
        <f>1/7</f>
        <v>0.1428571429</v>
      </c>
      <c r="AE18" s="7">
        <f t="shared" si="21"/>
        <v>0.2727272727</v>
      </c>
      <c r="AF18" s="4">
        <v>0.0</v>
      </c>
      <c r="AG18" s="4">
        <v>0.0</v>
      </c>
      <c r="AH18" s="4">
        <v>0.0</v>
      </c>
      <c r="AI18" s="4">
        <v>0.0</v>
      </c>
      <c r="AJ18" s="4">
        <v>0.0</v>
      </c>
      <c r="AK18" s="4">
        <v>0.0</v>
      </c>
      <c r="AL18" s="7">
        <v>0.0</v>
      </c>
      <c r="AM18" s="4">
        <v>0.0</v>
      </c>
      <c r="AN18" s="4">
        <v>0.0</v>
      </c>
      <c r="AO18" s="4">
        <v>0.0</v>
      </c>
      <c r="AP18" s="7">
        <v>0.0</v>
      </c>
      <c r="AQ18" s="7">
        <f>10/3</f>
        <v>3.333333333</v>
      </c>
      <c r="AR18" s="7">
        <f>11/7</f>
        <v>1.571428571</v>
      </c>
      <c r="AS18" s="4">
        <v>0.0</v>
      </c>
      <c r="AT18" s="4">
        <v>0.0</v>
      </c>
      <c r="AU18" s="4">
        <v>0.0</v>
      </c>
      <c r="AV18" s="7">
        <f>6/7</f>
        <v>0.8571428571</v>
      </c>
      <c r="AW18" s="4">
        <v>0.0</v>
      </c>
      <c r="AX18" s="4">
        <v>0.0</v>
      </c>
      <c r="AY18" s="4">
        <v>0.0</v>
      </c>
      <c r="AZ18" s="4">
        <v>0.0</v>
      </c>
      <c r="BA18" s="7">
        <v>0.0</v>
      </c>
      <c r="BB18" s="7">
        <v>0.0</v>
      </c>
      <c r="BC18" s="4">
        <v>0.0</v>
      </c>
      <c r="BD18" s="4">
        <v>0.0</v>
      </c>
      <c r="BE18" s="4">
        <v>0.0</v>
      </c>
      <c r="BF18" s="4">
        <v>0.5</v>
      </c>
    </row>
    <row r="19">
      <c r="A19" s="4" t="s">
        <v>39</v>
      </c>
      <c r="B19" s="16">
        <f t="shared" si="1"/>
        <v>62.53333333</v>
      </c>
      <c r="C19" s="29">
        <f>VLOOKUP(A19,'2024 недельный зачет'!$A:$B,2,FALSE)</f>
        <v>17</v>
      </c>
      <c r="D19" s="6">
        <f>'2024 все бани'!U3</f>
        <v>14</v>
      </c>
      <c r="E19" s="6">
        <f>'2024 все бани'!U2</f>
        <v>6</v>
      </c>
      <c r="F19" s="6">
        <f>'2024 все бани'!U1</f>
        <v>11</v>
      </c>
      <c r="G19" s="7">
        <v>0.0</v>
      </c>
      <c r="H19" s="7">
        <v>0.0</v>
      </c>
      <c r="I19" s="7">
        <v>0.0</v>
      </c>
      <c r="J19" s="7">
        <v>0.0</v>
      </c>
      <c r="K19" s="7">
        <v>0.0</v>
      </c>
      <c r="L19" s="7">
        <v>0.0</v>
      </c>
      <c r="M19" s="7">
        <v>0.0</v>
      </c>
      <c r="N19" s="7">
        <v>0.0</v>
      </c>
      <c r="O19" s="7">
        <v>0.0</v>
      </c>
      <c r="P19" s="7">
        <f>6/5</f>
        <v>1.2</v>
      </c>
      <c r="Q19" s="4">
        <v>0.0</v>
      </c>
      <c r="R19" s="4">
        <v>0.0</v>
      </c>
      <c r="S19" s="4">
        <v>0.0</v>
      </c>
      <c r="T19" s="4">
        <v>0.0</v>
      </c>
      <c r="U19" s="4">
        <v>0.0</v>
      </c>
      <c r="V19" s="4">
        <v>0.0</v>
      </c>
      <c r="W19" s="4">
        <v>0.0</v>
      </c>
      <c r="X19" s="4">
        <v>0.0</v>
      </c>
      <c r="Y19" s="4">
        <v>0.0</v>
      </c>
      <c r="Z19" s="4">
        <v>0.0</v>
      </c>
      <c r="AA19" s="4">
        <v>0.0</v>
      </c>
      <c r="AB19" s="4">
        <v>10.0</v>
      </c>
      <c r="AC19" s="4">
        <v>0.0</v>
      </c>
      <c r="AD19" s="4">
        <v>0.0</v>
      </c>
      <c r="AE19" s="4">
        <v>0.0</v>
      </c>
      <c r="AF19" s="4">
        <v>0.0</v>
      </c>
      <c r="AG19" s="4">
        <v>0.0</v>
      </c>
      <c r="AH19" s="4">
        <v>0.0</v>
      </c>
      <c r="AI19" s="4">
        <v>0.0</v>
      </c>
      <c r="AJ19" s="4">
        <v>0.0</v>
      </c>
      <c r="AK19" s="4">
        <v>0.0</v>
      </c>
      <c r="AL19" s="7">
        <v>0.0</v>
      </c>
      <c r="AM19" s="4">
        <v>0.0</v>
      </c>
      <c r="AN19" s="4">
        <v>0.0</v>
      </c>
      <c r="AO19" s="7">
        <v>3.333333333</v>
      </c>
      <c r="AP19" s="4">
        <v>0.0</v>
      </c>
      <c r="AQ19" s="4">
        <v>0.0</v>
      </c>
      <c r="AR19" s="4">
        <v>0.0</v>
      </c>
      <c r="AS19" s="4">
        <v>0.0</v>
      </c>
      <c r="AT19" s="4">
        <v>0.0</v>
      </c>
      <c r="AU19" s="4">
        <v>0.0</v>
      </c>
      <c r="AV19" s="4">
        <v>0.0</v>
      </c>
      <c r="AW19" s="4">
        <v>0.0</v>
      </c>
      <c r="AX19" s="4">
        <v>0.0</v>
      </c>
      <c r="AY19" s="4">
        <v>0.0</v>
      </c>
      <c r="AZ19" s="4">
        <v>0.0</v>
      </c>
      <c r="BA19" s="4">
        <v>0.0</v>
      </c>
      <c r="BB19" s="4">
        <v>0.0</v>
      </c>
      <c r="BC19" s="4">
        <v>0.0</v>
      </c>
      <c r="BD19" s="4">
        <v>0.0</v>
      </c>
      <c r="BE19" s="4">
        <v>0.0</v>
      </c>
      <c r="BF19" s="4">
        <v>0.0</v>
      </c>
    </row>
    <row r="20">
      <c r="A20" s="4" t="s">
        <v>33</v>
      </c>
      <c r="B20" s="16">
        <f t="shared" si="1"/>
        <v>59.875</v>
      </c>
      <c r="C20" s="29">
        <f>VLOOKUP(A20,'2024 недельный зачет'!$A:$B,2,FALSE)</f>
        <v>18</v>
      </c>
      <c r="D20" s="6">
        <f>'2024 все бани'!V3</f>
        <v>13</v>
      </c>
      <c r="E20" s="6">
        <f>'2024 все бани'!V2</f>
        <v>5</v>
      </c>
      <c r="F20" s="6">
        <f>'2024 все бани'!V1</f>
        <v>10</v>
      </c>
      <c r="G20" s="7">
        <v>0.0</v>
      </c>
      <c r="H20" s="7">
        <v>0.0</v>
      </c>
      <c r="I20" s="7">
        <v>0.0</v>
      </c>
      <c r="J20" s="7">
        <v>0.0</v>
      </c>
      <c r="K20" s="7">
        <v>0.0</v>
      </c>
      <c r="L20" s="7">
        <v>0.0</v>
      </c>
      <c r="M20" s="7">
        <v>0.0</v>
      </c>
      <c r="N20" s="7">
        <v>0.0</v>
      </c>
      <c r="O20" s="7">
        <v>0.0</v>
      </c>
      <c r="P20" s="7">
        <v>0.0</v>
      </c>
      <c r="Q20" s="4">
        <v>0.0</v>
      </c>
      <c r="R20" s="4">
        <v>0.0</v>
      </c>
      <c r="S20" s="4">
        <v>0.0</v>
      </c>
      <c r="T20" s="4">
        <v>10.0</v>
      </c>
      <c r="U20" s="4">
        <v>0.0</v>
      </c>
      <c r="V20" s="4">
        <v>0.0</v>
      </c>
      <c r="W20" s="4">
        <v>0.0</v>
      </c>
      <c r="X20" s="4">
        <v>0.0</v>
      </c>
      <c r="Y20" s="4">
        <v>0.0</v>
      </c>
      <c r="Z20" s="4">
        <v>0.0</v>
      </c>
      <c r="AA20" s="4">
        <v>0.0</v>
      </c>
      <c r="AB20" s="4">
        <v>0.0</v>
      </c>
      <c r="AC20" s="4">
        <v>0.0</v>
      </c>
      <c r="AD20" s="4">
        <v>0.0</v>
      </c>
      <c r="AE20" s="4">
        <v>0.0</v>
      </c>
      <c r="AF20" s="7">
        <f>1/7</f>
        <v>0.1428571429</v>
      </c>
      <c r="AG20" s="4">
        <v>0.0</v>
      </c>
      <c r="AH20" s="4">
        <v>0.0</v>
      </c>
      <c r="AI20" s="4">
        <v>0.0</v>
      </c>
      <c r="AJ20" s="4">
        <v>0.0</v>
      </c>
      <c r="AK20" s="4">
        <v>0.5</v>
      </c>
      <c r="AL20" s="7">
        <v>0.0</v>
      </c>
      <c r="AM20" s="4">
        <v>0.0</v>
      </c>
      <c r="AN20" s="4">
        <v>0.0</v>
      </c>
      <c r="AO20" s="4">
        <v>0.0</v>
      </c>
      <c r="AP20" s="4">
        <v>0.0</v>
      </c>
      <c r="AQ20" s="4">
        <v>0.0</v>
      </c>
      <c r="AR20" s="4">
        <v>0.0</v>
      </c>
      <c r="AS20" s="4">
        <v>0.0</v>
      </c>
      <c r="AT20" s="4">
        <v>0.0</v>
      </c>
      <c r="AU20" s="4">
        <v>0.0</v>
      </c>
      <c r="AV20" s="7">
        <f t="shared" ref="AV20:AV22" si="22">6/7</f>
        <v>0.8571428571</v>
      </c>
      <c r="AW20" s="4">
        <v>0.0</v>
      </c>
      <c r="AX20" s="4">
        <v>0.0</v>
      </c>
      <c r="AY20" s="4">
        <v>0.0</v>
      </c>
      <c r="AZ20" s="4">
        <v>0.0</v>
      </c>
      <c r="BA20" s="7">
        <v>0.0</v>
      </c>
      <c r="BB20" s="7">
        <f>3/8</f>
        <v>0.375</v>
      </c>
      <c r="BC20" s="4">
        <v>1.0</v>
      </c>
      <c r="BD20" s="4">
        <v>0.0</v>
      </c>
      <c r="BE20" s="4">
        <v>1.0</v>
      </c>
      <c r="BF20" s="4">
        <v>0.0</v>
      </c>
    </row>
    <row r="21">
      <c r="A21" s="4" t="s">
        <v>30</v>
      </c>
      <c r="B21" s="16">
        <f t="shared" si="1"/>
        <v>46.24761905</v>
      </c>
      <c r="C21" s="29">
        <f>VLOOKUP(A21,'2024 недельный зачет'!$A:$B,2,FALSE)</f>
        <v>26</v>
      </c>
      <c r="D21" s="6">
        <f>+'2024 все бани'!W3</f>
        <v>7</v>
      </c>
      <c r="E21" s="6">
        <f>+'2024 все бани'!W2</f>
        <v>4</v>
      </c>
      <c r="F21" s="6">
        <f>+'2024 все бани'!W1</f>
        <v>1</v>
      </c>
      <c r="G21" s="7">
        <v>0.0</v>
      </c>
      <c r="H21" s="7">
        <v>0.0</v>
      </c>
      <c r="I21" s="7">
        <v>0.0</v>
      </c>
      <c r="J21" s="7">
        <v>0.0</v>
      </c>
      <c r="K21" s="7">
        <v>0.0</v>
      </c>
      <c r="L21" s="7">
        <v>0.0</v>
      </c>
      <c r="M21" s="7">
        <v>0.0</v>
      </c>
      <c r="N21" s="7">
        <v>0.0</v>
      </c>
      <c r="O21" s="7">
        <v>0.0</v>
      </c>
      <c r="P21" s="7">
        <v>0.0</v>
      </c>
      <c r="Q21" s="4">
        <v>0.0</v>
      </c>
      <c r="R21" s="4">
        <v>0.0</v>
      </c>
      <c r="S21" s="4">
        <v>0.0</v>
      </c>
      <c r="T21" s="4">
        <v>0.0</v>
      </c>
      <c r="U21" s="4">
        <v>0.0</v>
      </c>
      <c r="V21" s="4">
        <v>0.0</v>
      </c>
      <c r="W21" s="4">
        <v>0.0</v>
      </c>
      <c r="X21" s="4">
        <v>0.0</v>
      </c>
      <c r="Y21" s="4">
        <v>0.0</v>
      </c>
      <c r="Z21" s="4">
        <v>0.0</v>
      </c>
      <c r="AA21" s="4">
        <v>0.0</v>
      </c>
      <c r="AB21" s="4">
        <v>0.0</v>
      </c>
      <c r="AC21" s="4">
        <v>0.0</v>
      </c>
      <c r="AD21" s="4">
        <v>0.0</v>
      </c>
      <c r="AE21" s="4">
        <v>0.0</v>
      </c>
      <c r="AF21" s="4">
        <v>0.0</v>
      </c>
      <c r="AG21" s="4">
        <v>1.0</v>
      </c>
      <c r="AH21" s="4">
        <v>0.0</v>
      </c>
      <c r="AI21" s="4">
        <v>0.0</v>
      </c>
      <c r="AJ21" s="4">
        <v>0.0</v>
      </c>
      <c r="AK21" s="4">
        <v>0.0</v>
      </c>
      <c r="AL21" s="7">
        <v>0.0</v>
      </c>
      <c r="AM21" s="4">
        <v>0.0</v>
      </c>
      <c r="AN21" s="4">
        <v>0.0</v>
      </c>
      <c r="AO21" s="4">
        <v>0.0</v>
      </c>
      <c r="AP21" s="7">
        <v>0.0</v>
      </c>
      <c r="AQ21" s="7">
        <f>1/6</f>
        <v>0.1666666667</v>
      </c>
      <c r="AR21" s="4">
        <v>0.0</v>
      </c>
      <c r="AS21" s="4">
        <v>0.0</v>
      </c>
      <c r="AT21" s="7">
        <v>4.25</v>
      </c>
      <c r="AU21" s="4">
        <v>0.0</v>
      </c>
      <c r="AV21" s="7">
        <f t="shared" si="22"/>
        <v>0.8571428571</v>
      </c>
      <c r="AW21" s="4">
        <v>0.0</v>
      </c>
      <c r="AX21" s="4">
        <v>0.0</v>
      </c>
      <c r="AY21" s="4">
        <v>0.2</v>
      </c>
      <c r="AZ21" s="4">
        <v>0.0</v>
      </c>
      <c r="BA21" s="7">
        <f>6/7</f>
        <v>0.8571428571</v>
      </c>
      <c r="BB21" s="7">
        <v>0.0</v>
      </c>
      <c r="BC21" s="7">
        <v>0.0</v>
      </c>
      <c r="BD21" s="7">
        <f>11/12</f>
        <v>0.9166666667</v>
      </c>
      <c r="BE21" s="4">
        <v>0.0</v>
      </c>
      <c r="BF21" s="4">
        <v>0.0</v>
      </c>
    </row>
    <row r="22">
      <c r="A22" s="4" t="s">
        <v>47</v>
      </c>
      <c r="B22" s="16">
        <f t="shared" si="1"/>
        <v>32.63636364</v>
      </c>
      <c r="C22" s="29">
        <f>VLOOKUP(A22,'2024 недельный зачет'!$A:$B,2,FALSE)</f>
        <v>22</v>
      </c>
      <c r="D22" s="6">
        <f>'2024 все бани'!P3</f>
        <v>2</v>
      </c>
      <c r="E22" s="6">
        <f>'2024 все бани'!P2</f>
        <v>1</v>
      </c>
      <c r="F22" s="6">
        <f>'2024 все бани'!P1</f>
        <v>0</v>
      </c>
      <c r="G22" s="7">
        <v>0.0</v>
      </c>
      <c r="H22" s="7">
        <v>0.0</v>
      </c>
      <c r="I22" s="7">
        <v>0.0</v>
      </c>
      <c r="J22" s="7">
        <v>0.0</v>
      </c>
      <c r="K22" s="7">
        <v>0.0</v>
      </c>
      <c r="L22" s="7">
        <v>1.636363636</v>
      </c>
      <c r="M22" s="7">
        <v>1.5</v>
      </c>
      <c r="N22" s="7">
        <v>0.0</v>
      </c>
      <c r="O22" s="7">
        <v>0.4285714286</v>
      </c>
      <c r="P22" s="7">
        <v>0.0</v>
      </c>
      <c r="Q22" s="4">
        <v>0.0</v>
      </c>
      <c r="R22" s="4">
        <v>0.0</v>
      </c>
      <c r="S22" s="4">
        <v>0.0</v>
      </c>
      <c r="T22" s="4">
        <v>0.0</v>
      </c>
      <c r="U22" s="4">
        <v>0.0</v>
      </c>
      <c r="V22" s="4">
        <v>0.0</v>
      </c>
      <c r="W22" s="4">
        <v>0.0</v>
      </c>
      <c r="X22" s="4">
        <v>0.0</v>
      </c>
      <c r="Y22" s="4">
        <v>0.0</v>
      </c>
      <c r="Z22" s="4">
        <v>0.0</v>
      </c>
      <c r="AA22" s="4">
        <v>0.0</v>
      </c>
      <c r="AB22" s="4">
        <v>0.0</v>
      </c>
      <c r="AC22" s="4">
        <v>0.0</v>
      </c>
      <c r="AD22" s="7">
        <f>1/7</f>
        <v>0.1428571429</v>
      </c>
      <c r="AE22" s="4">
        <v>0.0</v>
      </c>
      <c r="AF22" s="4">
        <v>0.0</v>
      </c>
      <c r="AG22" s="4">
        <v>0.0</v>
      </c>
      <c r="AH22" s="4">
        <v>0.0</v>
      </c>
      <c r="AI22" s="4">
        <v>0.0</v>
      </c>
      <c r="AJ22" s="4">
        <v>0.0</v>
      </c>
      <c r="AK22" s="4">
        <v>0.0</v>
      </c>
      <c r="AL22" s="7">
        <v>0.0</v>
      </c>
      <c r="AM22" s="4">
        <v>0.0</v>
      </c>
      <c r="AN22" s="4">
        <v>0.0</v>
      </c>
      <c r="AO22" s="4">
        <v>0.0</v>
      </c>
      <c r="AP22" s="4">
        <v>0.0</v>
      </c>
      <c r="AQ22" s="4">
        <v>0.0</v>
      </c>
      <c r="AR22" s="7">
        <f>11/7</f>
        <v>1.571428571</v>
      </c>
      <c r="AS22" s="4">
        <v>0.0</v>
      </c>
      <c r="AT22" s="4">
        <v>0.5</v>
      </c>
      <c r="AU22" s="4">
        <v>0.0</v>
      </c>
      <c r="AV22" s="7">
        <f t="shared" si="22"/>
        <v>0.8571428571</v>
      </c>
      <c r="AW22" s="7">
        <v>1.0</v>
      </c>
      <c r="AX22" s="4">
        <v>0.0</v>
      </c>
      <c r="AY22" s="4">
        <v>0.0</v>
      </c>
      <c r="AZ22" s="4">
        <v>0.0</v>
      </c>
      <c r="BA22" s="4">
        <v>0.0</v>
      </c>
      <c r="BB22" s="4">
        <v>0.0</v>
      </c>
      <c r="BC22" s="4">
        <v>0.0</v>
      </c>
      <c r="BD22" s="4">
        <v>0.0</v>
      </c>
      <c r="BE22" s="4">
        <v>0.0</v>
      </c>
      <c r="BF22" s="4">
        <v>0.0</v>
      </c>
    </row>
    <row r="23">
      <c r="A23" s="4" t="s">
        <v>43</v>
      </c>
      <c r="B23" s="16">
        <f t="shared" si="1"/>
        <v>27.60606061</v>
      </c>
      <c r="C23" s="29">
        <f>VLOOKUP(A23,'2024 недельный зачет'!$A:$B,2,FALSE)</f>
        <v>9</v>
      </c>
      <c r="D23" s="6">
        <f>'2024 все бани'!AI3</f>
        <v>5</v>
      </c>
      <c r="E23" s="6">
        <f>'2024 все бани'!AI2</f>
        <v>2</v>
      </c>
      <c r="F23" s="6">
        <f>'2024 все бани'!AI1</f>
        <v>8</v>
      </c>
      <c r="G23" s="7">
        <v>0.0</v>
      </c>
      <c r="H23" s="7">
        <v>0.0</v>
      </c>
      <c r="I23" s="7">
        <v>0.0</v>
      </c>
      <c r="J23" s="7">
        <v>0.0</v>
      </c>
      <c r="K23" s="7">
        <v>0.0</v>
      </c>
      <c r="L23" s="7">
        <v>0.0</v>
      </c>
      <c r="M23" s="7">
        <v>0.0</v>
      </c>
      <c r="N23" s="7">
        <v>0.0</v>
      </c>
      <c r="O23" s="7">
        <v>0.0</v>
      </c>
      <c r="P23" s="7">
        <v>0.0</v>
      </c>
      <c r="Q23" s="4">
        <v>0.0</v>
      </c>
      <c r="R23" s="4">
        <v>0.0</v>
      </c>
      <c r="S23" s="4">
        <v>0.0</v>
      </c>
      <c r="T23" s="4">
        <v>0.0</v>
      </c>
      <c r="U23" s="4">
        <v>0.0</v>
      </c>
      <c r="V23" s="4">
        <v>0.0</v>
      </c>
      <c r="W23" s="4">
        <v>0.0</v>
      </c>
      <c r="X23" s="4">
        <v>0.0</v>
      </c>
      <c r="Y23" s="4">
        <v>0.0</v>
      </c>
      <c r="Z23" s="4">
        <v>0.0</v>
      </c>
      <c r="AA23" s="4">
        <v>0.0</v>
      </c>
      <c r="AB23" s="4">
        <v>0.0</v>
      </c>
      <c r="AC23" s="4">
        <v>0.0</v>
      </c>
      <c r="AD23" s="4">
        <v>0.0</v>
      </c>
      <c r="AE23" s="7">
        <f>3/11</f>
        <v>0.2727272727</v>
      </c>
      <c r="AF23" s="4">
        <v>0.0</v>
      </c>
      <c r="AG23" s="4">
        <v>0.0</v>
      </c>
      <c r="AH23" s="4">
        <v>0.0</v>
      </c>
      <c r="AI23" s="7">
        <f>10/3</f>
        <v>3.333333333</v>
      </c>
      <c r="AJ23" s="4">
        <v>0.0</v>
      </c>
      <c r="AK23" s="4">
        <v>0.0</v>
      </c>
      <c r="AL23" s="7">
        <v>0.0</v>
      </c>
      <c r="AM23" s="4">
        <v>0.0</v>
      </c>
      <c r="AN23" s="4">
        <v>0.0</v>
      </c>
      <c r="AO23" s="4">
        <v>0.0</v>
      </c>
      <c r="AP23" s="4">
        <v>0.0</v>
      </c>
      <c r="AQ23" s="4">
        <v>0.0</v>
      </c>
      <c r="AR23" s="4">
        <v>0.0</v>
      </c>
      <c r="AS23" s="4">
        <v>0.0</v>
      </c>
      <c r="AT23" s="4">
        <v>0.0</v>
      </c>
      <c r="AU23" s="4">
        <v>0.0</v>
      </c>
      <c r="AV23" s="4">
        <v>0.0</v>
      </c>
      <c r="AW23" s="4">
        <v>0.0</v>
      </c>
      <c r="AX23" s="4">
        <v>0.0</v>
      </c>
      <c r="AY23" s="4">
        <v>0.0</v>
      </c>
      <c r="AZ23" s="4">
        <v>0.0</v>
      </c>
      <c r="BA23" s="4">
        <v>0.0</v>
      </c>
      <c r="BB23" s="4">
        <v>0.0</v>
      </c>
      <c r="BC23" s="4">
        <v>0.0</v>
      </c>
      <c r="BD23" s="4">
        <v>0.0</v>
      </c>
      <c r="BE23" s="4">
        <v>0.0</v>
      </c>
      <c r="BF23" s="4">
        <v>0.0</v>
      </c>
    </row>
    <row r="24">
      <c r="A24" s="4" t="s">
        <v>42</v>
      </c>
      <c r="B24" s="16">
        <f t="shared" si="1"/>
        <v>25.2</v>
      </c>
      <c r="C24" s="29">
        <f>VLOOKUP(A24,'2024 недельный зачет'!$A:$B,2,FALSE)</f>
        <v>10</v>
      </c>
      <c r="D24" s="6">
        <f>'2024 все бани'!R3</f>
        <v>9</v>
      </c>
      <c r="E24" s="6">
        <f>'2024 все бани'!R2</f>
        <v>2</v>
      </c>
      <c r="F24" s="6">
        <f>'2024 все бани'!R1</f>
        <v>4</v>
      </c>
      <c r="G24" s="7">
        <v>0.0</v>
      </c>
      <c r="H24" s="7">
        <v>0.0</v>
      </c>
      <c r="I24" s="7">
        <v>0.0</v>
      </c>
      <c r="J24" s="7">
        <v>0.0</v>
      </c>
      <c r="K24" s="7">
        <v>0.0</v>
      </c>
      <c r="L24" s="7">
        <v>0.0</v>
      </c>
      <c r="M24" s="7">
        <v>0.0</v>
      </c>
      <c r="N24" s="7">
        <v>0.0</v>
      </c>
      <c r="O24" s="7">
        <v>0.0</v>
      </c>
      <c r="P24" s="7">
        <v>0.0</v>
      </c>
      <c r="Q24" s="4">
        <v>0.0</v>
      </c>
      <c r="R24" s="4">
        <v>0.0</v>
      </c>
      <c r="S24" s="4">
        <v>0.0</v>
      </c>
      <c r="T24" s="4">
        <v>0.0</v>
      </c>
      <c r="U24" s="4">
        <v>0.0</v>
      </c>
      <c r="V24" s="4">
        <v>0.0</v>
      </c>
      <c r="W24" s="4">
        <v>0.0</v>
      </c>
      <c r="X24" s="4">
        <v>0.0</v>
      </c>
      <c r="Y24" s="4">
        <v>0.0</v>
      </c>
      <c r="Z24" s="4">
        <v>0.0</v>
      </c>
      <c r="AA24" s="4">
        <v>0.0</v>
      </c>
      <c r="AB24" s="4">
        <v>0.0</v>
      </c>
      <c r="AC24" s="4">
        <v>0.0</v>
      </c>
      <c r="AD24" s="4">
        <v>0.0</v>
      </c>
      <c r="AE24" s="4">
        <v>0.0</v>
      </c>
      <c r="AF24" s="4">
        <v>0.0</v>
      </c>
      <c r="AG24" s="4">
        <v>0.0</v>
      </c>
      <c r="AH24" s="4">
        <v>0.0</v>
      </c>
      <c r="AI24" s="4">
        <v>0.0</v>
      </c>
      <c r="AJ24" s="4">
        <v>0.0</v>
      </c>
      <c r="AK24" s="4">
        <v>0.0</v>
      </c>
      <c r="AL24" s="7">
        <v>0.0</v>
      </c>
      <c r="AM24" s="4">
        <v>0.0</v>
      </c>
      <c r="AN24" s="4">
        <v>0.0</v>
      </c>
      <c r="AO24" s="4">
        <v>0.0</v>
      </c>
      <c r="AP24" s="4">
        <v>0.0</v>
      </c>
      <c r="AQ24" s="4">
        <v>0.0</v>
      </c>
      <c r="AR24" s="4">
        <v>0.0</v>
      </c>
      <c r="AS24" s="4">
        <v>0.0</v>
      </c>
      <c r="AT24" s="4">
        <v>0.0</v>
      </c>
      <c r="AU24" s="4">
        <v>0.0</v>
      </c>
      <c r="AV24" s="4">
        <v>0.0</v>
      </c>
      <c r="AW24" s="4">
        <v>0.0</v>
      </c>
      <c r="AX24" s="4">
        <v>0.0</v>
      </c>
      <c r="AY24" s="4">
        <v>0.2</v>
      </c>
      <c r="AZ24" s="4">
        <v>0.0</v>
      </c>
      <c r="BA24" s="7">
        <v>0.0</v>
      </c>
      <c r="BB24" s="7">
        <v>0.0</v>
      </c>
      <c r="BC24" s="7">
        <v>0.0</v>
      </c>
      <c r="BD24" s="7">
        <v>0.0</v>
      </c>
      <c r="BE24" s="7">
        <v>0.0</v>
      </c>
      <c r="BF24" s="7">
        <v>0.0</v>
      </c>
    </row>
    <row r="25">
      <c r="A25" s="4" t="s">
        <v>29</v>
      </c>
      <c r="B25" s="16">
        <f t="shared" si="1"/>
        <v>23.22222222</v>
      </c>
      <c r="C25" s="29">
        <f>VLOOKUP(A25,'2024 недельный зачет'!$A:$B,2,FALSE)</f>
        <v>8</v>
      </c>
      <c r="D25" s="6">
        <f>'2024 все бани'!S3</f>
        <v>6</v>
      </c>
      <c r="E25" s="6">
        <f>'2024 все бани'!S2</f>
        <v>2</v>
      </c>
      <c r="F25" s="6">
        <f>'2024 все бани'!S1</f>
        <v>6</v>
      </c>
      <c r="G25" s="7">
        <v>1.222222222</v>
      </c>
      <c r="H25" s="7">
        <v>0.0</v>
      </c>
      <c r="I25" s="7">
        <v>0.0</v>
      </c>
      <c r="J25" s="7">
        <v>0.0</v>
      </c>
      <c r="K25" s="7">
        <v>0.0</v>
      </c>
      <c r="L25" s="7">
        <v>0.0</v>
      </c>
      <c r="M25" s="7">
        <v>0.0</v>
      </c>
      <c r="N25" s="7">
        <v>0.0</v>
      </c>
      <c r="O25" s="7">
        <v>0.0</v>
      </c>
      <c r="P25" s="7">
        <v>0.0</v>
      </c>
      <c r="Q25" s="4">
        <v>0.0</v>
      </c>
      <c r="R25" s="4">
        <v>0.0</v>
      </c>
      <c r="S25" s="4">
        <v>0.0</v>
      </c>
      <c r="T25" s="4">
        <v>0.0</v>
      </c>
      <c r="U25" s="4">
        <v>0.0</v>
      </c>
      <c r="V25" s="4">
        <v>0.0</v>
      </c>
      <c r="W25" s="4">
        <v>0.0</v>
      </c>
      <c r="X25" s="4">
        <v>0.0</v>
      </c>
      <c r="Y25" s="4">
        <v>0.0</v>
      </c>
      <c r="Z25" s="4">
        <v>0.0</v>
      </c>
      <c r="AA25" s="4">
        <v>0.0</v>
      </c>
      <c r="AB25" s="4">
        <v>0.0</v>
      </c>
      <c r="AC25" s="4">
        <v>0.0</v>
      </c>
      <c r="AD25" s="4">
        <v>0.0</v>
      </c>
      <c r="AE25" s="4">
        <v>0.0</v>
      </c>
      <c r="AF25" s="4">
        <v>0.0</v>
      </c>
      <c r="AG25" s="4">
        <v>0.0</v>
      </c>
      <c r="AH25" s="4">
        <v>0.0</v>
      </c>
      <c r="AI25" s="4">
        <v>0.0</v>
      </c>
      <c r="AJ25" s="4">
        <v>0.0</v>
      </c>
      <c r="AK25" s="4">
        <v>0.0</v>
      </c>
      <c r="AL25" s="4">
        <v>0.0</v>
      </c>
      <c r="AM25" s="4">
        <v>0.0</v>
      </c>
      <c r="AN25" s="4">
        <v>0.0</v>
      </c>
      <c r="AO25" s="4">
        <v>0.0</v>
      </c>
      <c r="AP25" s="4">
        <v>0.0</v>
      </c>
      <c r="AQ25" s="4">
        <v>0.0</v>
      </c>
      <c r="AR25" s="4">
        <v>0.0</v>
      </c>
      <c r="AS25" s="4">
        <v>0.0</v>
      </c>
      <c r="AT25" s="4">
        <v>0.0</v>
      </c>
      <c r="AU25" s="4">
        <v>0.0</v>
      </c>
      <c r="AV25" s="4">
        <v>0.0</v>
      </c>
      <c r="AW25" s="4">
        <v>0.0</v>
      </c>
      <c r="AX25" s="4">
        <v>0.0</v>
      </c>
      <c r="AY25" s="4">
        <v>0.0</v>
      </c>
      <c r="AZ25" s="4">
        <v>0.0</v>
      </c>
      <c r="BA25" s="4">
        <v>0.0</v>
      </c>
      <c r="BB25" s="4">
        <v>0.0</v>
      </c>
      <c r="BC25" s="4">
        <v>0.0</v>
      </c>
      <c r="BD25" s="4">
        <v>0.0</v>
      </c>
      <c r="BE25" s="4">
        <v>0.0</v>
      </c>
      <c r="BF25" s="4">
        <v>0.0</v>
      </c>
    </row>
    <row r="26">
      <c r="A26" s="4" t="s">
        <v>38</v>
      </c>
      <c r="B26" s="16">
        <f t="shared" si="1"/>
        <v>20.41666667</v>
      </c>
      <c r="C26" s="29">
        <f>VLOOKUP(A26,'2024 недельный зачет'!$A:$B,2,FALSE)</f>
        <v>5</v>
      </c>
      <c r="D26" s="6">
        <f>+'2024 все бани'!Y3</f>
        <v>5</v>
      </c>
      <c r="E26" s="6">
        <f>+'2024 все бани'!Y2</f>
        <v>2</v>
      </c>
      <c r="F26" s="6">
        <f>+'2024 все бани'!Y1</f>
        <v>7</v>
      </c>
      <c r="G26" s="7">
        <v>0.0</v>
      </c>
      <c r="H26" s="7">
        <v>0.0</v>
      </c>
      <c r="I26" s="7">
        <v>0.0</v>
      </c>
      <c r="J26" s="7">
        <v>0.0</v>
      </c>
      <c r="K26" s="7">
        <v>0.0</v>
      </c>
      <c r="L26" s="7">
        <v>0.0</v>
      </c>
      <c r="M26" s="7">
        <v>0.0</v>
      </c>
      <c r="N26" s="7">
        <v>0.0</v>
      </c>
      <c r="O26" s="7">
        <v>0.0</v>
      </c>
      <c r="P26" s="7">
        <v>0.0</v>
      </c>
      <c r="Q26" s="4">
        <v>0.0</v>
      </c>
      <c r="R26" s="4">
        <v>0.0</v>
      </c>
      <c r="S26" s="4">
        <v>0.0</v>
      </c>
      <c r="T26" s="4">
        <v>0.0</v>
      </c>
      <c r="U26" s="4">
        <v>0.0</v>
      </c>
      <c r="V26" s="4">
        <v>0.0</v>
      </c>
      <c r="W26" s="4">
        <v>0.0</v>
      </c>
      <c r="X26" s="4">
        <v>0.0</v>
      </c>
      <c r="Y26" s="4">
        <v>0.0</v>
      </c>
      <c r="Z26" s="4">
        <v>0.0</v>
      </c>
      <c r="AA26" s="4">
        <v>0.0</v>
      </c>
      <c r="AB26" s="4">
        <v>0.0</v>
      </c>
      <c r="AC26" s="4">
        <v>0.0</v>
      </c>
      <c r="AD26" s="4">
        <v>0.0</v>
      </c>
      <c r="AE26" s="4">
        <v>0.0</v>
      </c>
      <c r="AF26" s="4">
        <v>0.0</v>
      </c>
      <c r="AG26" s="4">
        <v>0.0</v>
      </c>
      <c r="AH26" s="4">
        <v>0.0</v>
      </c>
      <c r="AI26" s="4">
        <v>0.0</v>
      </c>
      <c r="AJ26" s="4">
        <v>0.0</v>
      </c>
      <c r="AK26" s="4">
        <v>0.5</v>
      </c>
      <c r="AL26" s="7">
        <v>0.0</v>
      </c>
      <c r="AM26" s="4">
        <v>0.0</v>
      </c>
      <c r="AN26" s="4">
        <v>0.0</v>
      </c>
      <c r="AO26" s="4">
        <v>0.0</v>
      </c>
      <c r="AP26" s="4">
        <v>0.0</v>
      </c>
      <c r="AQ26" s="4">
        <v>0.0</v>
      </c>
      <c r="AR26" s="4">
        <v>0.0</v>
      </c>
      <c r="AS26" s="4">
        <v>0.0</v>
      </c>
      <c r="AT26" s="4">
        <v>0.0</v>
      </c>
      <c r="AU26" s="4">
        <v>0.0</v>
      </c>
      <c r="AV26" s="4">
        <v>0.0</v>
      </c>
      <c r="AW26" s="4">
        <v>0.0</v>
      </c>
      <c r="AX26" s="4">
        <v>0.0</v>
      </c>
      <c r="AY26" s="4">
        <v>0.0</v>
      </c>
      <c r="AZ26" s="4">
        <v>0.0</v>
      </c>
      <c r="BA26" s="7">
        <v>0.0</v>
      </c>
      <c r="BB26" s="7">
        <v>0.0</v>
      </c>
      <c r="BC26" s="7">
        <v>0.0</v>
      </c>
      <c r="BD26" s="7">
        <f>11/12</f>
        <v>0.9166666667</v>
      </c>
      <c r="BE26" s="4">
        <v>0.0</v>
      </c>
      <c r="BF26" s="4">
        <v>0.0</v>
      </c>
    </row>
    <row r="27">
      <c r="A27" s="4" t="s">
        <v>50</v>
      </c>
      <c r="B27" s="16">
        <f t="shared" si="1"/>
        <v>18</v>
      </c>
      <c r="C27" s="29">
        <f>VLOOKUP(A27,'2024 недельный зачет'!$A:$B,2,FALSE)</f>
        <v>7</v>
      </c>
      <c r="D27" s="6">
        <f>'2024 все бани'!X3</f>
        <v>5</v>
      </c>
      <c r="E27" s="6">
        <f>'2024 все бани'!X2</f>
        <v>2</v>
      </c>
      <c r="F27" s="6">
        <f>'2024 все бани'!X1</f>
        <v>4</v>
      </c>
      <c r="G27" s="7">
        <v>0.0</v>
      </c>
      <c r="H27" s="7">
        <v>0.0</v>
      </c>
      <c r="I27" s="7">
        <v>0.0</v>
      </c>
      <c r="J27" s="7">
        <v>0.0</v>
      </c>
      <c r="K27" s="7">
        <v>0.0</v>
      </c>
      <c r="L27" s="7">
        <v>0.0</v>
      </c>
      <c r="M27" s="7">
        <v>0.0</v>
      </c>
      <c r="N27" s="7">
        <v>0.0</v>
      </c>
      <c r="O27" s="7">
        <v>0.0</v>
      </c>
      <c r="P27" s="7">
        <v>0.0</v>
      </c>
      <c r="Q27" s="4">
        <v>0.0</v>
      </c>
      <c r="R27" s="4">
        <v>0.0</v>
      </c>
      <c r="S27" s="4">
        <v>0.0</v>
      </c>
      <c r="T27" s="4">
        <v>0.0</v>
      </c>
      <c r="U27" s="4">
        <v>0.0</v>
      </c>
      <c r="V27" s="4">
        <v>0.0</v>
      </c>
      <c r="W27" s="4">
        <v>0.0</v>
      </c>
      <c r="X27" s="4">
        <v>0.0</v>
      </c>
      <c r="Y27" s="4">
        <v>0.0</v>
      </c>
      <c r="Z27" s="4">
        <v>0.0</v>
      </c>
      <c r="AA27" s="4">
        <v>0.0</v>
      </c>
      <c r="AB27" s="4">
        <v>0.0</v>
      </c>
      <c r="AC27" s="4">
        <v>0.0</v>
      </c>
      <c r="AD27" s="4">
        <v>0.0</v>
      </c>
      <c r="AE27" s="4">
        <v>0.0</v>
      </c>
      <c r="AF27" s="4">
        <v>0.0</v>
      </c>
      <c r="AG27" s="4">
        <v>0.0</v>
      </c>
      <c r="AH27" s="4">
        <v>0.0</v>
      </c>
      <c r="AI27" s="4">
        <v>0.0</v>
      </c>
      <c r="AJ27" s="4">
        <v>0.0</v>
      </c>
      <c r="AK27" s="4">
        <v>0.0</v>
      </c>
      <c r="AL27" s="7">
        <v>0.0</v>
      </c>
      <c r="AM27" s="4">
        <v>0.0</v>
      </c>
      <c r="AN27" s="4">
        <v>0.0</v>
      </c>
      <c r="AO27" s="4">
        <v>0.0</v>
      </c>
      <c r="AP27" s="4">
        <v>0.0</v>
      </c>
      <c r="AQ27" s="4">
        <v>0.0</v>
      </c>
      <c r="AR27" s="4">
        <v>0.0</v>
      </c>
      <c r="AS27" s="4">
        <v>0.0</v>
      </c>
      <c r="AT27" s="4">
        <v>0.0</v>
      </c>
      <c r="AU27" s="4">
        <v>0.0</v>
      </c>
      <c r="AV27" s="4">
        <v>0.0</v>
      </c>
      <c r="AW27" s="4">
        <v>0.0</v>
      </c>
      <c r="AX27" s="4">
        <v>0.0</v>
      </c>
      <c r="AY27" s="4">
        <v>0.0</v>
      </c>
      <c r="AZ27" s="4">
        <v>0.0</v>
      </c>
      <c r="BA27" s="7">
        <v>0.0</v>
      </c>
      <c r="BB27" s="7">
        <v>0.0</v>
      </c>
      <c r="BC27" s="7">
        <v>0.0</v>
      </c>
      <c r="BD27" s="7">
        <v>0.0</v>
      </c>
      <c r="BE27" s="7">
        <v>0.0</v>
      </c>
      <c r="BF27" s="7">
        <v>0.0</v>
      </c>
    </row>
    <row r="28">
      <c r="A28" s="4" t="s">
        <v>44</v>
      </c>
      <c r="B28" s="16">
        <f t="shared" si="1"/>
        <v>15.48214286</v>
      </c>
      <c r="C28" s="29">
        <f>VLOOKUP(A28,'2024 недельный зачет'!$A:$B,2,FALSE)</f>
        <v>6</v>
      </c>
      <c r="D28" s="6">
        <f>'2024 все бани'!O3</f>
        <v>2</v>
      </c>
      <c r="E28" s="6">
        <f>'2024 все бани'!O2</f>
        <v>2</v>
      </c>
      <c r="F28" s="6">
        <f>'2024 все бани'!O1</f>
        <v>0</v>
      </c>
      <c r="G28" s="7">
        <v>0.0</v>
      </c>
      <c r="H28" s="7">
        <v>0.0</v>
      </c>
      <c r="I28" s="7">
        <v>0.0</v>
      </c>
      <c r="J28" s="7">
        <v>0.0</v>
      </c>
      <c r="K28" s="7">
        <v>0.0</v>
      </c>
      <c r="L28" s="7">
        <v>0.0</v>
      </c>
      <c r="M28" s="7">
        <v>0.0</v>
      </c>
      <c r="N28" s="7">
        <v>0.0</v>
      </c>
      <c r="O28" s="7">
        <v>0.0</v>
      </c>
      <c r="P28" s="7">
        <v>0.0</v>
      </c>
      <c r="Q28" s="4">
        <v>0.0</v>
      </c>
      <c r="R28" s="4">
        <v>0.0</v>
      </c>
      <c r="S28" s="4">
        <v>0.0</v>
      </c>
      <c r="T28" s="4">
        <v>0.0</v>
      </c>
      <c r="U28" s="4">
        <v>0.0</v>
      </c>
      <c r="V28" s="4">
        <v>0.0</v>
      </c>
      <c r="W28" s="4">
        <v>0.0</v>
      </c>
      <c r="X28" s="4">
        <v>0.0</v>
      </c>
      <c r="Y28" s="4">
        <v>0.0</v>
      </c>
      <c r="Z28" s="4">
        <v>0.0</v>
      </c>
      <c r="AA28" s="7">
        <f>17/4</f>
        <v>4.25</v>
      </c>
      <c r="AB28" s="4">
        <v>0.0</v>
      </c>
      <c r="AC28" s="4">
        <v>0.0</v>
      </c>
      <c r="AD28" s="4">
        <v>0.0</v>
      </c>
      <c r="AE28" s="4">
        <v>0.0</v>
      </c>
      <c r="AF28" s="4">
        <v>0.0</v>
      </c>
      <c r="AG28" s="4">
        <v>0.0</v>
      </c>
      <c r="AH28" s="4">
        <v>0.0</v>
      </c>
      <c r="AI28" s="4">
        <v>0.0</v>
      </c>
      <c r="AJ28" s="4">
        <v>0.0</v>
      </c>
      <c r="AK28" s="4">
        <v>0.0</v>
      </c>
      <c r="AL28" s="7">
        <v>0.0</v>
      </c>
      <c r="AM28" s="4">
        <v>0.0</v>
      </c>
      <c r="AN28" s="4">
        <v>0.0</v>
      </c>
      <c r="AO28" s="4">
        <v>0.0</v>
      </c>
      <c r="AP28" s="4">
        <v>0.0</v>
      </c>
      <c r="AQ28" s="4">
        <v>0.0</v>
      </c>
      <c r="AR28" s="4">
        <v>0.0</v>
      </c>
      <c r="AS28" s="4">
        <v>0.0</v>
      </c>
      <c r="AT28" s="4">
        <v>0.0</v>
      </c>
      <c r="AU28" s="4">
        <v>0.0</v>
      </c>
      <c r="AV28" s="4">
        <v>0.0</v>
      </c>
      <c r="AW28" s="4">
        <v>0.0</v>
      </c>
      <c r="AX28" s="4">
        <v>0.0</v>
      </c>
      <c r="AY28" s="4">
        <v>0.0</v>
      </c>
      <c r="AZ28" s="4">
        <v>0.0</v>
      </c>
      <c r="BA28" s="7">
        <f>6/7</f>
        <v>0.8571428571</v>
      </c>
      <c r="BB28" s="7">
        <f>3/8</f>
        <v>0.375</v>
      </c>
      <c r="BC28" s="7">
        <v>0.0</v>
      </c>
      <c r="BD28" s="7">
        <v>0.0</v>
      </c>
      <c r="BE28" s="7">
        <v>0.0</v>
      </c>
      <c r="BF28" s="7">
        <v>0.0</v>
      </c>
    </row>
    <row r="29">
      <c r="A29" s="4" t="s">
        <v>48</v>
      </c>
      <c r="B29" s="16">
        <f t="shared" si="1"/>
        <v>12.91666667</v>
      </c>
      <c r="C29" s="29">
        <f>VLOOKUP(A29,'2024 недельный зачет'!$A:$B,2,FALSE)</f>
        <v>3</v>
      </c>
      <c r="D29" s="6">
        <f>'2024 все бани'!AE3</f>
        <v>3</v>
      </c>
      <c r="E29" s="6">
        <f>'2024 все бани'!AE2</f>
        <v>2</v>
      </c>
      <c r="F29" s="6">
        <f>'2024 все бани'!AE1</f>
        <v>4</v>
      </c>
      <c r="G29" s="7">
        <v>0.0</v>
      </c>
      <c r="H29" s="7">
        <v>0.0</v>
      </c>
      <c r="I29" s="7">
        <v>0.0</v>
      </c>
      <c r="J29" s="7">
        <v>0.0</v>
      </c>
      <c r="K29" s="7">
        <v>0.0</v>
      </c>
      <c r="L29" s="7">
        <v>0.0</v>
      </c>
      <c r="M29" s="7">
        <v>0.0</v>
      </c>
      <c r="N29" s="7">
        <v>0.0</v>
      </c>
      <c r="O29" s="7">
        <v>0.0</v>
      </c>
      <c r="P29" s="7">
        <v>0.0</v>
      </c>
      <c r="Q29" s="4">
        <v>0.0</v>
      </c>
      <c r="R29" s="4">
        <v>0.0</v>
      </c>
      <c r="S29" s="4">
        <v>0.0</v>
      </c>
      <c r="T29" s="4">
        <v>0.0</v>
      </c>
      <c r="U29" s="4">
        <v>0.0</v>
      </c>
      <c r="V29" s="4">
        <v>0.0</v>
      </c>
      <c r="W29" s="4">
        <v>0.0</v>
      </c>
      <c r="X29" s="4">
        <v>0.0</v>
      </c>
      <c r="Y29" s="4">
        <v>0.0</v>
      </c>
      <c r="Z29" s="4">
        <v>0.0</v>
      </c>
      <c r="AA29" s="4">
        <v>0.0</v>
      </c>
      <c r="AB29" s="4">
        <v>0.0</v>
      </c>
      <c r="AC29" s="4">
        <v>0.0</v>
      </c>
      <c r="AD29" s="4">
        <v>0.0</v>
      </c>
      <c r="AE29" s="4">
        <v>0.0</v>
      </c>
      <c r="AF29" s="4">
        <v>0.0</v>
      </c>
      <c r="AG29" s="4">
        <v>0.0</v>
      </c>
      <c r="AH29" s="4">
        <v>0.0</v>
      </c>
      <c r="AI29" s="4">
        <v>0.0</v>
      </c>
      <c r="AJ29" s="4">
        <v>0.0</v>
      </c>
      <c r="AK29" s="4">
        <v>0.0</v>
      </c>
      <c r="AL29" s="7">
        <v>0.0</v>
      </c>
      <c r="AM29" s="4">
        <v>0.0</v>
      </c>
      <c r="AN29" s="4">
        <v>0.0</v>
      </c>
      <c r="AO29" s="4">
        <v>0.0</v>
      </c>
      <c r="AP29" s="4">
        <v>0.0</v>
      </c>
      <c r="AQ29" s="4">
        <v>0.0</v>
      </c>
      <c r="AR29" s="4">
        <v>0.0</v>
      </c>
      <c r="AS29" s="4">
        <v>0.0</v>
      </c>
      <c r="AT29" s="4">
        <v>0.0</v>
      </c>
      <c r="AU29" s="4">
        <v>0.0</v>
      </c>
      <c r="AV29" s="4">
        <v>0.0</v>
      </c>
      <c r="AW29" s="4">
        <v>0.0</v>
      </c>
      <c r="AX29" s="4">
        <v>0.0</v>
      </c>
      <c r="AY29" s="4">
        <v>0.0</v>
      </c>
      <c r="AZ29" s="4">
        <v>0.0</v>
      </c>
      <c r="BA29" s="7">
        <v>0.0</v>
      </c>
      <c r="BB29" s="7">
        <v>0.0</v>
      </c>
      <c r="BC29" s="7">
        <v>0.0</v>
      </c>
      <c r="BD29" s="7">
        <f t="shared" ref="BD29:BD30" si="23">11/12</f>
        <v>0.9166666667</v>
      </c>
      <c r="BE29" s="4">
        <v>0.0</v>
      </c>
      <c r="BF29" s="4">
        <v>0.0</v>
      </c>
    </row>
    <row r="30">
      <c r="A30" s="4" t="s">
        <v>45</v>
      </c>
      <c r="B30" s="16">
        <f t="shared" si="1"/>
        <v>10.91666667</v>
      </c>
      <c r="C30" s="29">
        <f>VLOOKUP(A30,'2024 недельный зачет'!$A:$B,2,FALSE)</f>
        <v>3</v>
      </c>
      <c r="D30" s="6">
        <f>'2024 все бани'!AC3</f>
        <v>2</v>
      </c>
      <c r="E30" s="6">
        <f>'2024 все бани'!AC2</f>
        <v>1</v>
      </c>
      <c r="F30" s="6">
        <f>'2024 все бани'!AC1</f>
        <v>4</v>
      </c>
      <c r="G30" s="7">
        <v>0.0</v>
      </c>
      <c r="H30" s="7">
        <v>0.0</v>
      </c>
      <c r="I30" s="7">
        <v>0.0</v>
      </c>
      <c r="J30" s="7">
        <v>0.0</v>
      </c>
      <c r="K30" s="7">
        <v>0.0</v>
      </c>
      <c r="L30" s="7">
        <v>0.0</v>
      </c>
      <c r="M30" s="7">
        <v>0.0</v>
      </c>
      <c r="N30" s="7">
        <v>0.0</v>
      </c>
      <c r="O30" s="7">
        <v>0.0</v>
      </c>
      <c r="P30" s="7">
        <v>0.0</v>
      </c>
      <c r="Q30" s="4">
        <v>0.0</v>
      </c>
      <c r="R30" s="4">
        <v>0.0</v>
      </c>
      <c r="S30" s="4">
        <v>0.0</v>
      </c>
      <c r="T30" s="4">
        <v>0.0</v>
      </c>
      <c r="U30" s="4">
        <v>0.0</v>
      </c>
      <c r="V30" s="4">
        <v>0.0</v>
      </c>
      <c r="W30" s="4">
        <v>0.0</v>
      </c>
      <c r="X30" s="4">
        <v>0.0</v>
      </c>
      <c r="Y30" s="4">
        <v>0.0</v>
      </c>
      <c r="Z30" s="4">
        <v>0.0</v>
      </c>
      <c r="AA30" s="4">
        <v>0.0</v>
      </c>
      <c r="AB30" s="4">
        <v>0.0</v>
      </c>
      <c r="AC30" s="4">
        <v>0.0</v>
      </c>
      <c r="AD30" s="4">
        <v>0.0</v>
      </c>
      <c r="AE30" s="4">
        <v>0.0</v>
      </c>
      <c r="AF30" s="4">
        <v>0.0</v>
      </c>
      <c r="AG30" s="4">
        <v>0.0</v>
      </c>
      <c r="AH30" s="4">
        <v>0.0</v>
      </c>
      <c r="AI30" s="4">
        <v>0.0</v>
      </c>
      <c r="AJ30" s="4">
        <v>0.0</v>
      </c>
      <c r="AK30" s="4">
        <v>0.0</v>
      </c>
      <c r="AL30" s="7">
        <v>0.0</v>
      </c>
      <c r="AM30" s="4">
        <v>0.0</v>
      </c>
      <c r="AN30" s="4">
        <v>0.0</v>
      </c>
      <c r="AO30" s="4">
        <v>0.0</v>
      </c>
      <c r="AP30" s="4">
        <v>0.0</v>
      </c>
      <c r="AQ30" s="4">
        <v>0.0</v>
      </c>
      <c r="AR30" s="4">
        <v>0.0</v>
      </c>
      <c r="AS30" s="4">
        <v>0.0</v>
      </c>
      <c r="AT30" s="4">
        <v>0.0</v>
      </c>
      <c r="AU30" s="4">
        <v>0.0</v>
      </c>
      <c r="AV30" s="4">
        <v>0.0</v>
      </c>
      <c r="AW30" s="4">
        <v>0.0</v>
      </c>
      <c r="AX30" s="4">
        <v>0.0</v>
      </c>
      <c r="AY30" s="4">
        <v>0.0</v>
      </c>
      <c r="AZ30" s="4">
        <v>0.0</v>
      </c>
      <c r="BA30" s="7">
        <v>0.0</v>
      </c>
      <c r="BB30" s="7">
        <v>0.0</v>
      </c>
      <c r="BC30" s="7">
        <v>0.0</v>
      </c>
      <c r="BD30" s="7">
        <f t="shared" si="23"/>
        <v>0.9166666667</v>
      </c>
      <c r="BE30" s="4">
        <v>0.0</v>
      </c>
      <c r="BF30" s="4">
        <v>0.0</v>
      </c>
    </row>
    <row r="31">
      <c r="A31" s="4" t="s">
        <v>1337</v>
      </c>
      <c r="B31" s="16">
        <f t="shared" si="1"/>
        <v>5</v>
      </c>
      <c r="C31" s="29">
        <f>VLOOKUP(A31,'2024 недельный зачет'!$A:$B,2,FALSE)</f>
        <v>1</v>
      </c>
      <c r="D31" s="6">
        <f>'2024 все бани'!AD3</f>
        <v>1</v>
      </c>
      <c r="E31" s="6">
        <f>'2024 все бани'!AD2</f>
        <v>1</v>
      </c>
      <c r="F31" s="6">
        <f>'2024 все бани'!AD1</f>
        <v>2</v>
      </c>
      <c r="G31" s="7">
        <v>0.0</v>
      </c>
      <c r="H31" s="7">
        <v>0.0</v>
      </c>
      <c r="I31" s="7">
        <v>0.0</v>
      </c>
      <c r="J31" s="7">
        <v>0.0</v>
      </c>
      <c r="K31" s="7">
        <v>0.0</v>
      </c>
      <c r="L31" s="7">
        <v>0.0</v>
      </c>
      <c r="M31" s="7">
        <v>0.0</v>
      </c>
      <c r="N31" s="7">
        <v>0.0</v>
      </c>
      <c r="O31" s="4">
        <v>0.0</v>
      </c>
      <c r="P31" s="4">
        <v>0.0</v>
      </c>
      <c r="Q31" s="4">
        <v>0.0</v>
      </c>
      <c r="R31" s="4">
        <v>0.0</v>
      </c>
      <c r="S31" s="4">
        <v>0.0</v>
      </c>
      <c r="T31" s="4">
        <v>0.0</v>
      </c>
      <c r="U31" s="4">
        <v>0.0</v>
      </c>
      <c r="V31" s="4">
        <v>0.0</v>
      </c>
      <c r="W31" s="4">
        <v>0.0</v>
      </c>
      <c r="X31" s="4">
        <v>0.0</v>
      </c>
      <c r="Y31" s="4">
        <v>0.0</v>
      </c>
      <c r="Z31" s="4">
        <v>0.0</v>
      </c>
      <c r="AA31" s="4">
        <v>0.0</v>
      </c>
      <c r="AB31" s="4">
        <v>0.0</v>
      </c>
      <c r="AC31" s="4">
        <v>0.0</v>
      </c>
      <c r="AD31" s="4">
        <v>0.0</v>
      </c>
      <c r="AE31" s="4">
        <v>0.0</v>
      </c>
      <c r="AF31" s="4">
        <v>0.0</v>
      </c>
      <c r="AG31" s="4">
        <v>0.0</v>
      </c>
      <c r="AH31" s="4">
        <v>0.0</v>
      </c>
      <c r="AI31" s="4">
        <v>0.0</v>
      </c>
      <c r="AJ31" s="4">
        <v>0.0</v>
      </c>
      <c r="AK31" s="4">
        <v>0.0</v>
      </c>
      <c r="AL31" s="4">
        <v>0.0</v>
      </c>
      <c r="AM31" s="4">
        <v>0.0</v>
      </c>
      <c r="AN31" s="4">
        <v>0.0</v>
      </c>
      <c r="AO31" s="4">
        <v>0.0</v>
      </c>
      <c r="AP31" s="4">
        <v>0.0</v>
      </c>
      <c r="AQ31" s="4">
        <v>0.0</v>
      </c>
      <c r="AR31" s="4">
        <v>0.0</v>
      </c>
      <c r="AS31" s="4">
        <v>0.0</v>
      </c>
      <c r="AT31" s="4">
        <v>0.0</v>
      </c>
      <c r="AU31" s="4">
        <v>0.0</v>
      </c>
      <c r="AV31" s="4">
        <v>0.0</v>
      </c>
      <c r="AW31" s="4">
        <v>0.0</v>
      </c>
      <c r="AX31" s="4">
        <v>0.0</v>
      </c>
      <c r="AY31" s="4">
        <v>0.0</v>
      </c>
      <c r="AZ31" s="4">
        <v>0.0</v>
      </c>
      <c r="BA31" s="4">
        <v>0.0</v>
      </c>
      <c r="BB31" s="4">
        <v>0.0</v>
      </c>
      <c r="BC31" s="4">
        <v>0.0</v>
      </c>
      <c r="BD31" s="4">
        <v>0.0</v>
      </c>
      <c r="BE31" s="4">
        <v>0.0</v>
      </c>
      <c r="BF31" s="4">
        <v>0.0</v>
      </c>
    </row>
    <row r="32">
      <c r="A32" s="4" t="s">
        <v>41</v>
      </c>
      <c r="B32" s="16">
        <f t="shared" si="1"/>
        <v>4.916666667</v>
      </c>
      <c r="C32" s="29">
        <f>VLOOKUP(A32,'2024 недельный зачет'!$A:$B,2,FALSE)</f>
        <v>1</v>
      </c>
      <c r="D32" s="6">
        <f>'2024 все бани'!AB3</f>
        <v>1</v>
      </c>
      <c r="E32" s="6">
        <f>'2024 все бани'!AB2</f>
        <v>0</v>
      </c>
      <c r="F32" s="6">
        <f>'2024 все бани'!AB1</f>
        <v>2</v>
      </c>
      <c r="G32" s="7">
        <v>0.0</v>
      </c>
      <c r="H32" s="7">
        <v>0.0</v>
      </c>
      <c r="I32" s="7">
        <v>0.0</v>
      </c>
      <c r="J32" s="7">
        <v>0.0</v>
      </c>
      <c r="K32" s="7">
        <v>0.0</v>
      </c>
      <c r="L32" s="7">
        <v>0.0</v>
      </c>
      <c r="M32" s="7">
        <v>0.0</v>
      </c>
      <c r="N32" s="7">
        <v>0.0</v>
      </c>
      <c r="O32" s="7">
        <v>0.0</v>
      </c>
      <c r="P32" s="7">
        <v>0.0</v>
      </c>
      <c r="Q32" s="4">
        <v>0.0</v>
      </c>
      <c r="R32" s="4">
        <v>0.0</v>
      </c>
      <c r="S32" s="4">
        <v>0.0</v>
      </c>
      <c r="T32" s="4">
        <v>0.0</v>
      </c>
      <c r="U32" s="4">
        <v>0.0</v>
      </c>
      <c r="V32" s="4">
        <v>0.0</v>
      </c>
      <c r="W32" s="4">
        <v>0.0</v>
      </c>
      <c r="X32" s="4">
        <v>0.0</v>
      </c>
      <c r="Y32" s="4">
        <v>0.0</v>
      </c>
      <c r="Z32" s="4">
        <v>0.0</v>
      </c>
      <c r="AA32" s="4">
        <v>0.0</v>
      </c>
      <c r="AB32" s="4">
        <v>0.0</v>
      </c>
      <c r="AC32" s="4">
        <v>0.0</v>
      </c>
      <c r="AD32" s="4">
        <v>0.0</v>
      </c>
      <c r="AE32" s="4">
        <v>0.0</v>
      </c>
      <c r="AF32" s="4">
        <v>0.0</v>
      </c>
      <c r="AG32" s="4">
        <v>0.0</v>
      </c>
      <c r="AH32" s="4">
        <v>0.0</v>
      </c>
      <c r="AI32" s="4">
        <v>0.0</v>
      </c>
      <c r="AJ32" s="4">
        <v>0.0</v>
      </c>
      <c r="AK32" s="4">
        <v>0.0</v>
      </c>
      <c r="AL32" s="7">
        <v>0.0</v>
      </c>
      <c r="AM32" s="4">
        <v>0.0</v>
      </c>
      <c r="AN32" s="4">
        <v>0.0</v>
      </c>
      <c r="AO32" s="4">
        <v>0.0</v>
      </c>
      <c r="AP32" s="4">
        <v>0.0</v>
      </c>
      <c r="AQ32" s="4">
        <v>0.0</v>
      </c>
      <c r="AR32" s="4">
        <v>0.0</v>
      </c>
      <c r="AS32" s="4">
        <v>0.0</v>
      </c>
      <c r="AT32" s="4">
        <v>0.0</v>
      </c>
      <c r="AU32" s="4">
        <v>0.0</v>
      </c>
      <c r="AV32" s="4">
        <v>0.0</v>
      </c>
      <c r="AW32" s="4">
        <v>0.0</v>
      </c>
      <c r="AX32" s="4">
        <v>0.0</v>
      </c>
      <c r="AY32" s="4">
        <v>0.0</v>
      </c>
      <c r="AZ32" s="4">
        <v>0.0</v>
      </c>
      <c r="BA32" s="7">
        <v>0.0</v>
      </c>
      <c r="BB32" s="7">
        <v>0.0</v>
      </c>
      <c r="BC32" s="7">
        <v>0.0</v>
      </c>
      <c r="BD32" s="7">
        <f>11/12</f>
        <v>0.9166666667</v>
      </c>
      <c r="BE32" s="4">
        <v>0.0</v>
      </c>
      <c r="BF32" s="4">
        <v>0.0</v>
      </c>
    </row>
    <row r="33">
      <c r="A33" s="4" t="s">
        <v>1338</v>
      </c>
      <c r="B33" s="16">
        <f t="shared" si="1"/>
        <v>2</v>
      </c>
      <c r="C33" s="29">
        <f>VLOOKUP(A33,'2024 недельный зачет'!$A:$B,2,FALSE)</f>
        <v>1</v>
      </c>
      <c r="D33" s="6">
        <f>'2024 все бани'!AA3</f>
        <v>1</v>
      </c>
      <c r="E33" s="6">
        <f>'2024 все бани'!AA2</f>
        <v>0</v>
      </c>
      <c r="F33" s="6">
        <f>'2024 все бани'!AA1</f>
        <v>0</v>
      </c>
      <c r="G33" s="7">
        <v>0.0</v>
      </c>
      <c r="H33" s="7">
        <v>0.0</v>
      </c>
      <c r="I33" s="7">
        <v>0.0</v>
      </c>
      <c r="J33" s="7">
        <v>0.0</v>
      </c>
      <c r="K33" s="7">
        <v>0.0</v>
      </c>
      <c r="L33" s="7">
        <v>0.0</v>
      </c>
      <c r="M33" s="7">
        <v>0.0</v>
      </c>
      <c r="N33" s="7">
        <v>0.0</v>
      </c>
      <c r="O33" s="4">
        <v>0.0</v>
      </c>
      <c r="P33" s="4">
        <v>0.0</v>
      </c>
      <c r="Q33" s="4">
        <v>0.0</v>
      </c>
      <c r="R33" s="4">
        <v>0.0</v>
      </c>
      <c r="S33" s="4">
        <v>0.0</v>
      </c>
      <c r="T33" s="4">
        <v>0.0</v>
      </c>
      <c r="U33" s="4">
        <v>0.0</v>
      </c>
      <c r="V33" s="4">
        <v>0.0</v>
      </c>
      <c r="W33" s="4">
        <v>0.0</v>
      </c>
      <c r="X33" s="4">
        <v>0.0</v>
      </c>
      <c r="Y33" s="4">
        <v>0.0</v>
      </c>
      <c r="Z33" s="4">
        <v>0.0</v>
      </c>
      <c r="AA33" s="4">
        <v>0.0</v>
      </c>
      <c r="AB33" s="4">
        <v>0.0</v>
      </c>
      <c r="AC33" s="4">
        <v>0.0</v>
      </c>
      <c r="AD33" s="4">
        <v>0.0</v>
      </c>
      <c r="AE33" s="4">
        <v>0.0</v>
      </c>
      <c r="AF33" s="4">
        <v>0.0</v>
      </c>
      <c r="AG33" s="4">
        <v>0.0</v>
      </c>
      <c r="AH33" s="4">
        <v>0.0</v>
      </c>
      <c r="AI33" s="4">
        <v>0.0</v>
      </c>
      <c r="AJ33" s="4">
        <v>0.0</v>
      </c>
      <c r="AK33" s="4">
        <v>0.0</v>
      </c>
      <c r="AL33" s="4">
        <v>0.0</v>
      </c>
      <c r="AM33" s="4">
        <v>0.0</v>
      </c>
      <c r="AN33" s="4">
        <v>0.0</v>
      </c>
      <c r="AO33" s="4">
        <v>0.0</v>
      </c>
      <c r="AP33" s="4">
        <v>0.0</v>
      </c>
      <c r="AQ33" s="4">
        <v>0.0</v>
      </c>
      <c r="AR33" s="4">
        <v>0.0</v>
      </c>
      <c r="AS33" s="4">
        <v>0.0</v>
      </c>
      <c r="AT33" s="4">
        <v>0.0</v>
      </c>
      <c r="AU33" s="4">
        <v>0.0</v>
      </c>
      <c r="AV33" s="4">
        <v>0.0</v>
      </c>
      <c r="AW33" s="4">
        <v>0.0</v>
      </c>
      <c r="AX33" s="4">
        <v>0.0</v>
      </c>
      <c r="AY33" s="4">
        <v>0.0</v>
      </c>
      <c r="AZ33" s="4">
        <v>0.0</v>
      </c>
      <c r="BA33" s="4">
        <v>0.0</v>
      </c>
      <c r="BB33" s="4">
        <v>0.0</v>
      </c>
      <c r="BC33" s="4">
        <v>0.0</v>
      </c>
      <c r="BD33" s="4">
        <v>0.0</v>
      </c>
      <c r="BE33" s="4">
        <v>0.0</v>
      </c>
      <c r="BF33" s="4">
        <v>0.0</v>
      </c>
    </row>
    <row r="34">
      <c r="A34" s="4" t="s">
        <v>1339</v>
      </c>
      <c r="B34" s="16">
        <f t="shared" si="1"/>
        <v>2</v>
      </c>
      <c r="C34" s="29">
        <f>VLOOKUP(A34,'2024 недельный зачет'!$A:$B,2,FALSE)</f>
        <v>1</v>
      </c>
      <c r="D34" s="6">
        <f>'2024 все бани'!T3</f>
        <v>1</v>
      </c>
      <c r="E34" s="6">
        <f>'2024 все бани'!T2</f>
        <v>0</v>
      </c>
      <c r="F34" s="6">
        <f>'2024 все бани'!T1</f>
        <v>0</v>
      </c>
      <c r="G34" s="7">
        <v>0.0</v>
      </c>
      <c r="H34" s="7">
        <v>0.0</v>
      </c>
      <c r="I34" s="7">
        <v>0.0</v>
      </c>
      <c r="J34" s="7">
        <v>0.0</v>
      </c>
      <c r="K34" s="7">
        <v>0.0</v>
      </c>
      <c r="L34" s="7">
        <v>0.0</v>
      </c>
      <c r="M34" s="7">
        <v>0.0</v>
      </c>
      <c r="N34" s="7">
        <v>0.0</v>
      </c>
      <c r="O34" s="7">
        <v>0.0</v>
      </c>
      <c r="P34" s="7">
        <v>0.0</v>
      </c>
      <c r="Q34" s="4">
        <v>0.0</v>
      </c>
      <c r="R34" s="4">
        <v>0.0</v>
      </c>
      <c r="S34" s="4">
        <v>0.0</v>
      </c>
      <c r="T34" s="4">
        <v>0.0</v>
      </c>
      <c r="U34" s="4">
        <v>0.0</v>
      </c>
      <c r="V34" s="4">
        <v>0.0</v>
      </c>
      <c r="W34" s="4">
        <v>0.0</v>
      </c>
      <c r="X34" s="4">
        <v>0.0</v>
      </c>
      <c r="Y34" s="4">
        <v>0.0</v>
      </c>
      <c r="Z34" s="4">
        <v>0.0</v>
      </c>
      <c r="AA34" s="4">
        <v>0.0</v>
      </c>
      <c r="AB34" s="4">
        <v>0.0</v>
      </c>
      <c r="AC34" s="4">
        <v>0.0</v>
      </c>
      <c r="AD34" s="4">
        <v>0.0</v>
      </c>
      <c r="AE34" s="4">
        <v>0.0</v>
      </c>
      <c r="AF34" s="4">
        <v>0.0</v>
      </c>
      <c r="AG34" s="4">
        <v>0.0</v>
      </c>
      <c r="AH34" s="4">
        <v>0.0</v>
      </c>
      <c r="AI34" s="4">
        <v>0.0</v>
      </c>
      <c r="AJ34" s="4">
        <v>0.0</v>
      </c>
      <c r="AK34" s="4">
        <v>0.0</v>
      </c>
      <c r="AL34" s="7">
        <v>0.0</v>
      </c>
      <c r="AM34" s="4">
        <v>0.0</v>
      </c>
      <c r="AN34" s="4">
        <v>0.0</v>
      </c>
      <c r="AO34" s="4">
        <v>0.0</v>
      </c>
      <c r="AP34" s="4">
        <v>0.0</v>
      </c>
      <c r="AQ34" s="4">
        <v>0.0</v>
      </c>
      <c r="AR34" s="4">
        <v>0.0</v>
      </c>
      <c r="AS34" s="4">
        <v>0.0</v>
      </c>
      <c r="AT34" s="4">
        <v>0.0</v>
      </c>
      <c r="AU34" s="4">
        <v>0.0</v>
      </c>
      <c r="AV34" s="4">
        <v>0.0</v>
      </c>
      <c r="AW34" s="4">
        <v>0.0</v>
      </c>
      <c r="AX34" s="4">
        <v>0.0</v>
      </c>
      <c r="AY34" s="4">
        <v>0.0</v>
      </c>
      <c r="AZ34" s="4">
        <v>0.0</v>
      </c>
      <c r="BA34" s="4">
        <v>0.0</v>
      </c>
      <c r="BB34" s="4">
        <v>0.0</v>
      </c>
      <c r="BC34" s="4">
        <v>0.0</v>
      </c>
      <c r="BD34" s="4">
        <v>0.0</v>
      </c>
      <c r="BE34" s="4">
        <v>0.0</v>
      </c>
      <c r="BF34" s="4">
        <v>0.0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63"/>
  </cols>
  <sheetData>
    <row r="1" ht="260.25" customHeight="1">
      <c r="A1" s="30" t="s">
        <v>1340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8.25"/>
    <col customWidth="1" min="2" max="2" width="6.25"/>
    <col customWidth="1" min="3" max="55" width="4.38"/>
  </cols>
  <sheetData>
    <row r="1">
      <c r="B1" s="3">
        <f>SUM(B3:B190)</f>
        <v>1463</v>
      </c>
      <c r="C1" s="3">
        <f t="shared" ref="C1:BC1" si="1">SUM(C3:C100)</f>
        <v>4</v>
      </c>
      <c r="D1" s="3">
        <f t="shared" si="1"/>
        <v>30</v>
      </c>
      <c r="E1" s="3">
        <f t="shared" si="1"/>
        <v>27</v>
      </c>
      <c r="F1" s="3">
        <f t="shared" si="1"/>
        <v>34</v>
      </c>
      <c r="G1" s="3">
        <f t="shared" si="1"/>
        <v>83</v>
      </c>
      <c r="H1" s="3">
        <f t="shared" si="1"/>
        <v>52</v>
      </c>
      <c r="I1" s="3">
        <f t="shared" si="1"/>
        <v>28</v>
      </c>
      <c r="J1" s="3">
        <f t="shared" si="1"/>
        <v>36</v>
      </c>
      <c r="K1" s="3">
        <f t="shared" si="1"/>
        <v>27</v>
      </c>
      <c r="L1" s="3">
        <f t="shared" si="1"/>
        <v>40</v>
      </c>
      <c r="M1" s="3">
        <f t="shared" si="1"/>
        <v>30</v>
      </c>
      <c r="N1" s="3">
        <f t="shared" si="1"/>
        <v>43</v>
      </c>
      <c r="O1" s="3">
        <f t="shared" si="1"/>
        <v>32</v>
      </c>
      <c r="P1" s="3">
        <f t="shared" si="1"/>
        <v>24</v>
      </c>
      <c r="Q1" s="3">
        <f t="shared" si="1"/>
        <v>37</v>
      </c>
      <c r="R1" s="3">
        <f t="shared" si="1"/>
        <v>40</v>
      </c>
      <c r="S1" s="3">
        <f t="shared" si="1"/>
        <v>25</v>
      </c>
      <c r="T1" s="3">
        <f t="shared" si="1"/>
        <v>22</v>
      </c>
      <c r="U1" s="3">
        <f t="shared" si="1"/>
        <v>18</v>
      </c>
      <c r="V1" s="3">
        <f t="shared" si="1"/>
        <v>32</v>
      </c>
      <c r="W1" s="3">
        <f t="shared" si="1"/>
        <v>40</v>
      </c>
      <c r="X1" s="3">
        <f t="shared" si="1"/>
        <v>31</v>
      </c>
      <c r="Y1" s="3">
        <f t="shared" si="1"/>
        <v>54</v>
      </c>
      <c r="Z1" s="3">
        <f t="shared" si="1"/>
        <v>18</v>
      </c>
      <c r="AA1" s="3">
        <f t="shared" si="1"/>
        <v>22</v>
      </c>
      <c r="AB1" s="3">
        <f t="shared" si="1"/>
        <v>21</v>
      </c>
      <c r="AC1" s="3">
        <f t="shared" si="1"/>
        <v>19</v>
      </c>
      <c r="AD1" s="3">
        <f t="shared" si="1"/>
        <v>13</v>
      </c>
      <c r="AE1" s="3">
        <f t="shared" si="1"/>
        <v>24</v>
      </c>
      <c r="AF1" s="3">
        <f t="shared" si="1"/>
        <v>27</v>
      </c>
      <c r="AG1" s="3">
        <f t="shared" si="1"/>
        <v>27</v>
      </c>
      <c r="AH1" s="3">
        <f t="shared" si="1"/>
        <v>18</v>
      </c>
      <c r="AI1" s="3">
        <f t="shared" si="1"/>
        <v>41</v>
      </c>
      <c r="AJ1" s="3">
        <f t="shared" si="1"/>
        <v>28</v>
      </c>
      <c r="AK1" s="3">
        <f t="shared" si="1"/>
        <v>26</v>
      </c>
      <c r="AL1" s="3">
        <f t="shared" si="1"/>
        <v>32</v>
      </c>
      <c r="AM1" s="3">
        <f t="shared" si="1"/>
        <v>22</v>
      </c>
      <c r="AN1" s="3">
        <f t="shared" si="1"/>
        <v>22</v>
      </c>
      <c r="AO1" s="3">
        <f t="shared" si="1"/>
        <v>25</v>
      </c>
      <c r="AP1" s="3">
        <f t="shared" si="1"/>
        <v>20</v>
      </c>
      <c r="AQ1" s="3">
        <f t="shared" si="1"/>
        <v>23</v>
      </c>
      <c r="AR1" s="3">
        <f t="shared" si="1"/>
        <v>30</v>
      </c>
      <c r="AS1" s="3">
        <f t="shared" si="1"/>
        <v>13</v>
      </c>
      <c r="AT1" s="3">
        <f t="shared" si="1"/>
        <v>25</v>
      </c>
      <c r="AU1" s="3">
        <f t="shared" si="1"/>
        <v>18</v>
      </c>
      <c r="AV1" s="3">
        <f t="shared" si="1"/>
        <v>16</v>
      </c>
      <c r="AW1" s="3">
        <f t="shared" si="1"/>
        <v>20</v>
      </c>
      <c r="AX1" s="3">
        <f t="shared" si="1"/>
        <v>15</v>
      </c>
      <c r="AY1" s="3">
        <f t="shared" si="1"/>
        <v>17</v>
      </c>
      <c r="AZ1" s="3">
        <f t="shared" si="1"/>
        <v>15</v>
      </c>
      <c r="BA1" s="3">
        <f t="shared" si="1"/>
        <v>17</v>
      </c>
      <c r="BB1" s="3">
        <f t="shared" si="1"/>
        <v>26</v>
      </c>
      <c r="BC1" s="3">
        <f t="shared" si="1"/>
        <v>34</v>
      </c>
    </row>
    <row r="2">
      <c r="B2" s="4" t="s">
        <v>51</v>
      </c>
      <c r="C2" s="4" t="s">
        <v>1218</v>
      </c>
      <c r="D2" s="4" t="s">
        <v>1219</v>
      </c>
      <c r="E2" s="4" t="s">
        <v>1220</v>
      </c>
      <c r="F2" s="4" t="s">
        <v>1221</v>
      </c>
      <c r="G2" s="4" t="s">
        <v>1222</v>
      </c>
      <c r="H2" s="4" t="s">
        <v>1223</v>
      </c>
      <c r="I2" s="4" t="s">
        <v>1224</v>
      </c>
      <c r="J2" s="4" t="s">
        <v>1225</v>
      </c>
      <c r="K2" s="4" t="s">
        <v>1226</v>
      </c>
      <c r="L2" s="4" t="s">
        <v>1227</v>
      </c>
      <c r="M2" s="4" t="s">
        <v>1228</v>
      </c>
      <c r="N2" s="4" t="s">
        <v>1229</v>
      </c>
      <c r="O2" s="4" t="s">
        <v>1230</v>
      </c>
      <c r="P2" s="4" t="s">
        <v>1231</v>
      </c>
      <c r="Q2" s="4" t="s">
        <v>1232</v>
      </c>
      <c r="R2" s="4" t="s">
        <v>1233</v>
      </c>
      <c r="S2" s="4" t="s">
        <v>1234</v>
      </c>
      <c r="T2" s="4" t="s">
        <v>1235</v>
      </c>
      <c r="U2" s="4" t="s">
        <v>1236</v>
      </c>
      <c r="V2" s="4" t="s">
        <v>1237</v>
      </c>
      <c r="W2" s="4" t="s">
        <v>1238</v>
      </c>
      <c r="X2" s="4" t="s">
        <v>1239</v>
      </c>
      <c r="Y2" s="4" t="s">
        <v>1240</v>
      </c>
      <c r="Z2" s="4" t="s">
        <v>1241</v>
      </c>
      <c r="AA2" s="4" t="s">
        <v>1242</v>
      </c>
      <c r="AB2" s="4" t="s">
        <v>1243</v>
      </c>
      <c r="AC2" s="4" t="s">
        <v>1244</v>
      </c>
      <c r="AD2" s="4" t="s">
        <v>1245</v>
      </c>
      <c r="AE2" s="4" t="s">
        <v>1246</v>
      </c>
      <c r="AF2" s="4" t="s">
        <v>1247</v>
      </c>
      <c r="AG2" s="4" t="s">
        <v>1248</v>
      </c>
      <c r="AH2" s="4" t="s">
        <v>1249</v>
      </c>
      <c r="AI2" s="4" t="s">
        <v>1250</v>
      </c>
      <c r="AJ2" s="4" t="s">
        <v>1251</v>
      </c>
      <c r="AK2" s="4" t="s">
        <v>1252</v>
      </c>
      <c r="AL2" s="4" t="s">
        <v>1253</v>
      </c>
      <c r="AM2" s="4" t="s">
        <v>1254</v>
      </c>
      <c r="AN2" s="4" t="s">
        <v>1255</v>
      </c>
      <c r="AO2" s="4" t="s">
        <v>1256</v>
      </c>
      <c r="AP2" s="4" t="s">
        <v>1257</v>
      </c>
      <c r="AQ2" s="4" t="s">
        <v>1258</v>
      </c>
      <c r="AR2" s="4" t="s">
        <v>1259</v>
      </c>
      <c r="AS2" s="4" t="s">
        <v>1260</v>
      </c>
      <c r="AT2" s="4" t="s">
        <v>1261</v>
      </c>
      <c r="AU2" s="4" t="s">
        <v>1341</v>
      </c>
      <c r="AV2" s="4" t="s">
        <v>1342</v>
      </c>
      <c r="AW2" s="4" t="s">
        <v>1343</v>
      </c>
      <c r="AX2" s="4" t="s">
        <v>1344</v>
      </c>
      <c r="AY2" s="4" t="s">
        <v>1345</v>
      </c>
      <c r="AZ2" s="4" t="s">
        <v>14</v>
      </c>
      <c r="BA2" s="4" t="s">
        <v>15</v>
      </c>
      <c r="BB2" s="4" t="s">
        <v>16</v>
      </c>
      <c r="BC2" s="4" t="s">
        <v>17</v>
      </c>
    </row>
    <row r="3">
      <c r="A3" s="4" t="s">
        <v>24</v>
      </c>
      <c r="B3" s="8">
        <f t="shared" ref="B3:B35" si="2">SUM(C3:BC3)</f>
        <v>156</v>
      </c>
      <c r="C3" s="4">
        <v>1.0</v>
      </c>
      <c r="D3" s="4">
        <v>2.0</v>
      </c>
      <c r="E3" s="4">
        <v>8.0</v>
      </c>
      <c r="F3" s="4">
        <v>8.0</v>
      </c>
      <c r="G3" s="4">
        <v>9.0</v>
      </c>
      <c r="H3" s="4">
        <v>4.0</v>
      </c>
      <c r="I3" s="4">
        <v>2.0</v>
      </c>
      <c r="J3" s="4">
        <v>5.0</v>
      </c>
      <c r="K3" s="4">
        <v>4.0</v>
      </c>
      <c r="L3" s="4">
        <v>2.0</v>
      </c>
      <c r="M3" s="4">
        <v>1.0</v>
      </c>
      <c r="N3" s="4">
        <v>6.0</v>
      </c>
      <c r="O3" s="4">
        <v>3.0</v>
      </c>
      <c r="P3" s="4">
        <v>2.0</v>
      </c>
      <c r="Q3" s="4">
        <v>5.0</v>
      </c>
      <c r="R3" s="4">
        <v>6.0</v>
      </c>
      <c r="S3" s="4">
        <v>4.0</v>
      </c>
      <c r="T3" s="4">
        <v>1.0</v>
      </c>
      <c r="U3" s="4">
        <v>4.0</v>
      </c>
      <c r="V3" s="4">
        <v>2.0</v>
      </c>
      <c r="W3" s="4">
        <v>3.0</v>
      </c>
      <c r="X3" s="4">
        <v>3.0</v>
      </c>
      <c r="Y3" s="4">
        <v>2.0</v>
      </c>
      <c r="Z3" s="4">
        <v>2.0</v>
      </c>
      <c r="AA3" s="4">
        <v>4.0</v>
      </c>
      <c r="AB3" s="4">
        <v>3.0</v>
      </c>
      <c r="AC3" s="4">
        <v>1.0</v>
      </c>
      <c r="AD3" s="4">
        <v>0.0</v>
      </c>
      <c r="AE3" s="4">
        <v>3.0</v>
      </c>
      <c r="AF3" s="4">
        <v>5.0</v>
      </c>
      <c r="AG3" s="4">
        <v>1.0</v>
      </c>
      <c r="AH3" s="4">
        <v>2.0</v>
      </c>
      <c r="AI3" s="4">
        <v>2.0</v>
      </c>
      <c r="AJ3" s="4">
        <v>3.0</v>
      </c>
      <c r="AK3" s="4">
        <v>4.0</v>
      </c>
      <c r="AL3" s="4">
        <v>3.0</v>
      </c>
      <c r="AM3" s="4">
        <v>3.0</v>
      </c>
      <c r="AN3" s="4">
        <v>3.0</v>
      </c>
      <c r="AO3" s="4">
        <v>2.0</v>
      </c>
      <c r="AP3" s="4">
        <v>3.0</v>
      </c>
      <c r="AQ3" s="4">
        <v>3.0</v>
      </c>
      <c r="AR3" s="4">
        <v>3.0</v>
      </c>
      <c r="AS3" s="4">
        <v>1.0</v>
      </c>
      <c r="AT3" s="4">
        <v>4.0</v>
      </c>
      <c r="AU3" s="4">
        <v>0.0</v>
      </c>
      <c r="AV3" s="4">
        <v>2.0</v>
      </c>
      <c r="AW3" s="4">
        <v>3.0</v>
      </c>
      <c r="AX3" s="4">
        <v>1.0</v>
      </c>
      <c r="AY3" s="4">
        <v>2.0</v>
      </c>
      <c r="AZ3" s="4">
        <v>3.0</v>
      </c>
      <c r="BA3" s="4">
        <v>0.0</v>
      </c>
      <c r="BB3" s="4">
        <v>2.0</v>
      </c>
      <c r="BC3" s="4">
        <v>1.0</v>
      </c>
    </row>
    <row r="4">
      <c r="A4" s="4" t="s">
        <v>23</v>
      </c>
      <c r="B4" s="31">
        <f t="shared" si="2"/>
        <v>136</v>
      </c>
      <c r="C4" s="32">
        <v>0.0</v>
      </c>
      <c r="D4" s="32">
        <v>0.0</v>
      </c>
      <c r="E4" s="4">
        <v>2.0</v>
      </c>
      <c r="F4" s="4">
        <v>2.0</v>
      </c>
      <c r="G4" s="4">
        <v>10.0</v>
      </c>
      <c r="H4" s="4">
        <v>4.0</v>
      </c>
      <c r="I4" s="4">
        <v>2.0</v>
      </c>
      <c r="J4" s="4">
        <v>2.0</v>
      </c>
      <c r="K4" s="4">
        <v>3.0</v>
      </c>
      <c r="L4" s="4">
        <v>3.0</v>
      </c>
      <c r="M4" s="4">
        <v>3.0</v>
      </c>
      <c r="N4" s="4">
        <v>4.0</v>
      </c>
      <c r="O4" s="4">
        <v>4.0</v>
      </c>
      <c r="P4" s="4">
        <v>3.0</v>
      </c>
      <c r="Q4" s="4">
        <v>4.0</v>
      </c>
      <c r="R4" s="4">
        <v>1.0</v>
      </c>
      <c r="S4" s="4">
        <v>5.0</v>
      </c>
      <c r="T4" s="4">
        <v>1.0</v>
      </c>
      <c r="U4" s="4">
        <v>2.0</v>
      </c>
      <c r="V4" s="4">
        <v>3.0</v>
      </c>
      <c r="W4" s="4">
        <v>3.0</v>
      </c>
      <c r="X4" s="4">
        <v>0.0</v>
      </c>
      <c r="Y4" s="4">
        <v>6.0</v>
      </c>
      <c r="Z4" s="4">
        <v>2.0</v>
      </c>
      <c r="AA4" s="4">
        <v>3.0</v>
      </c>
      <c r="AB4" s="4">
        <v>1.0</v>
      </c>
      <c r="AC4" s="4">
        <v>3.0</v>
      </c>
      <c r="AD4" s="4">
        <v>2.0</v>
      </c>
      <c r="AE4" s="4">
        <v>4.0</v>
      </c>
      <c r="AF4" s="4">
        <v>1.0</v>
      </c>
      <c r="AG4" s="4">
        <v>4.0</v>
      </c>
      <c r="AH4" s="4">
        <v>1.0</v>
      </c>
      <c r="AI4" s="4">
        <v>3.0</v>
      </c>
      <c r="AJ4" s="4">
        <v>1.0</v>
      </c>
      <c r="AK4" s="4">
        <v>2.0</v>
      </c>
      <c r="AL4" s="4">
        <v>2.0</v>
      </c>
      <c r="AM4" s="4">
        <v>2.0</v>
      </c>
      <c r="AN4" s="4">
        <v>1.0</v>
      </c>
      <c r="AO4" s="4">
        <v>2.0</v>
      </c>
      <c r="AP4" s="4">
        <v>3.0</v>
      </c>
      <c r="AQ4" s="4">
        <v>3.0</v>
      </c>
      <c r="AR4" s="4">
        <v>3.0</v>
      </c>
      <c r="AS4" s="4">
        <v>2.0</v>
      </c>
      <c r="AT4" s="4">
        <v>3.0</v>
      </c>
      <c r="AU4" s="4">
        <v>4.0</v>
      </c>
      <c r="AV4" s="4">
        <v>0.0</v>
      </c>
      <c r="AW4" s="4">
        <v>0.0</v>
      </c>
      <c r="AX4" s="4">
        <v>3.0</v>
      </c>
      <c r="AY4" s="4">
        <v>2.0</v>
      </c>
      <c r="AZ4" s="4">
        <v>2.0</v>
      </c>
      <c r="BA4" s="4">
        <v>2.0</v>
      </c>
      <c r="BB4" s="4">
        <v>5.0</v>
      </c>
      <c r="BC4" s="4">
        <v>3.0</v>
      </c>
    </row>
    <row r="5">
      <c r="A5" s="4" t="s">
        <v>19</v>
      </c>
      <c r="B5" s="31">
        <f t="shared" si="2"/>
        <v>129</v>
      </c>
      <c r="C5" s="32">
        <v>1.0</v>
      </c>
      <c r="D5" s="32">
        <v>5.0</v>
      </c>
      <c r="E5" s="32">
        <v>3.0</v>
      </c>
      <c r="F5" s="32">
        <v>7.0</v>
      </c>
      <c r="G5" s="32">
        <v>9.0</v>
      </c>
      <c r="H5" s="32">
        <v>5.0</v>
      </c>
      <c r="I5" s="32">
        <v>1.0</v>
      </c>
      <c r="J5" s="32">
        <v>2.0</v>
      </c>
      <c r="K5" s="32">
        <v>2.0</v>
      </c>
      <c r="L5" s="32">
        <v>2.0</v>
      </c>
      <c r="M5" s="32">
        <v>2.0</v>
      </c>
      <c r="N5" s="32">
        <v>3.0</v>
      </c>
      <c r="O5" s="32">
        <v>3.0</v>
      </c>
      <c r="P5" s="32">
        <v>3.0</v>
      </c>
      <c r="Q5" s="32">
        <v>1.0</v>
      </c>
      <c r="R5" s="32">
        <v>6.0</v>
      </c>
      <c r="S5" s="32">
        <v>1.0</v>
      </c>
      <c r="T5" s="4">
        <v>4.0</v>
      </c>
      <c r="U5" s="4">
        <v>4.0</v>
      </c>
      <c r="V5" s="4">
        <v>4.0</v>
      </c>
      <c r="W5" s="4">
        <v>1.0</v>
      </c>
      <c r="X5" s="4">
        <v>2.0</v>
      </c>
      <c r="Y5" s="4">
        <v>6.0</v>
      </c>
      <c r="Z5" s="4">
        <v>1.0</v>
      </c>
      <c r="AA5" s="4">
        <v>1.0</v>
      </c>
      <c r="AB5" s="4">
        <v>1.0</v>
      </c>
      <c r="AC5" s="4">
        <v>1.0</v>
      </c>
      <c r="AD5" s="4">
        <v>2.0</v>
      </c>
      <c r="AE5" s="4">
        <v>1.0</v>
      </c>
      <c r="AF5" s="4">
        <v>1.0</v>
      </c>
      <c r="AG5" s="4">
        <v>3.0</v>
      </c>
      <c r="AH5" s="4">
        <v>0.0</v>
      </c>
      <c r="AI5" s="4">
        <v>1.0</v>
      </c>
      <c r="AJ5" s="4">
        <v>6.0</v>
      </c>
      <c r="AK5" s="4">
        <v>6.0</v>
      </c>
      <c r="AL5" s="4">
        <v>3.0</v>
      </c>
      <c r="AM5" s="4">
        <v>4.0</v>
      </c>
      <c r="AN5" s="4">
        <v>7.0</v>
      </c>
      <c r="AO5" s="4">
        <v>1.0</v>
      </c>
      <c r="AP5" s="4">
        <v>1.0</v>
      </c>
      <c r="AQ5" s="4">
        <v>0.0</v>
      </c>
      <c r="AR5" s="4">
        <v>0.0</v>
      </c>
      <c r="AS5" s="4">
        <v>0.0</v>
      </c>
      <c r="AT5" s="4">
        <v>0.0</v>
      </c>
      <c r="AU5" s="4">
        <v>0.0</v>
      </c>
      <c r="AV5" s="4">
        <v>1.0</v>
      </c>
      <c r="AW5" s="4">
        <v>0.0</v>
      </c>
      <c r="AX5" s="4">
        <v>0.0</v>
      </c>
      <c r="AY5" s="4">
        <v>0.0</v>
      </c>
      <c r="AZ5" s="4">
        <v>0.0</v>
      </c>
      <c r="BA5" s="4">
        <v>1.0</v>
      </c>
      <c r="BB5" s="4">
        <v>3.0</v>
      </c>
      <c r="BC5" s="4">
        <v>7.0</v>
      </c>
    </row>
    <row r="6">
      <c r="A6" s="4" t="s">
        <v>18</v>
      </c>
      <c r="B6" s="31">
        <f t="shared" si="2"/>
        <v>114</v>
      </c>
      <c r="C6" s="32">
        <v>1.0</v>
      </c>
      <c r="D6" s="32">
        <v>2.0</v>
      </c>
      <c r="E6" s="32">
        <v>2.0</v>
      </c>
      <c r="F6" s="32">
        <v>2.0</v>
      </c>
      <c r="G6" s="32">
        <v>6.0</v>
      </c>
      <c r="H6" s="32">
        <v>6.0</v>
      </c>
      <c r="I6" s="32">
        <v>2.0</v>
      </c>
      <c r="J6" s="32">
        <v>4.0</v>
      </c>
      <c r="K6" s="32">
        <v>1.0</v>
      </c>
      <c r="L6" s="32">
        <v>1.0</v>
      </c>
      <c r="M6" s="32">
        <v>0.0</v>
      </c>
      <c r="N6" s="32">
        <v>5.0</v>
      </c>
      <c r="O6" s="32">
        <v>2.0</v>
      </c>
      <c r="P6" s="32">
        <v>0.0</v>
      </c>
      <c r="Q6" s="4">
        <v>2.0</v>
      </c>
      <c r="R6" s="4">
        <v>6.0</v>
      </c>
      <c r="S6" s="4">
        <v>1.0</v>
      </c>
      <c r="T6" s="4">
        <v>2.0</v>
      </c>
      <c r="U6" s="4">
        <v>1.0</v>
      </c>
      <c r="V6" s="4">
        <v>4.0</v>
      </c>
      <c r="W6" s="4">
        <v>3.0</v>
      </c>
      <c r="X6" s="4">
        <v>1.0</v>
      </c>
      <c r="Y6" s="4">
        <v>1.0</v>
      </c>
      <c r="Z6" s="4">
        <v>3.0</v>
      </c>
      <c r="AA6" s="4">
        <v>1.0</v>
      </c>
      <c r="AB6" s="4">
        <v>1.0</v>
      </c>
      <c r="AC6" s="4">
        <v>3.0</v>
      </c>
      <c r="AD6" s="4">
        <v>0.0</v>
      </c>
      <c r="AE6" s="4">
        <v>0.0</v>
      </c>
      <c r="AF6" s="4">
        <v>0.0</v>
      </c>
      <c r="AG6" s="4">
        <v>4.0</v>
      </c>
      <c r="AH6" s="4">
        <v>3.0</v>
      </c>
      <c r="AI6" s="4">
        <v>7.0</v>
      </c>
      <c r="AJ6" s="4">
        <v>3.0</v>
      </c>
      <c r="AK6" s="4">
        <v>1.0</v>
      </c>
      <c r="AL6" s="4">
        <v>4.0</v>
      </c>
      <c r="AM6" s="4">
        <v>1.0</v>
      </c>
      <c r="AN6" s="4">
        <v>2.0</v>
      </c>
      <c r="AO6" s="4">
        <v>2.0</v>
      </c>
      <c r="AP6" s="4">
        <v>0.0</v>
      </c>
      <c r="AQ6" s="4">
        <v>0.0</v>
      </c>
      <c r="AR6" s="4">
        <v>3.0</v>
      </c>
      <c r="AS6" s="4">
        <v>1.0</v>
      </c>
      <c r="AT6" s="4">
        <v>1.0</v>
      </c>
      <c r="AU6" s="4">
        <v>2.0</v>
      </c>
      <c r="AV6" s="4">
        <v>2.0</v>
      </c>
      <c r="AW6" s="4">
        <v>2.0</v>
      </c>
      <c r="AX6" s="4">
        <v>1.0</v>
      </c>
      <c r="AY6" s="4">
        <v>1.0</v>
      </c>
      <c r="AZ6" s="4">
        <v>0.0</v>
      </c>
      <c r="BA6" s="4">
        <v>1.0</v>
      </c>
      <c r="BB6" s="4">
        <v>3.0</v>
      </c>
      <c r="BC6" s="4">
        <v>7.0</v>
      </c>
    </row>
    <row r="7">
      <c r="A7" s="4" t="s">
        <v>32</v>
      </c>
      <c r="B7" s="31">
        <f t="shared" si="2"/>
        <v>110</v>
      </c>
      <c r="C7" s="32">
        <v>0.0</v>
      </c>
      <c r="D7" s="32">
        <v>3.0</v>
      </c>
      <c r="E7" s="32">
        <v>1.0</v>
      </c>
      <c r="F7" s="32">
        <v>1.0</v>
      </c>
      <c r="G7" s="32">
        <v>1.0</v>
      </c>
      <c r="H7" s="32">
        <v>3.0</v>
      </c>
      <c r="I7" s="32">
        <v>2.0</v>
      </c>
      <c r="J7" s="32">
        <v>2.0</v>
      </c>
      <c r="K7" s="32">
        <v>2.0</v>
      </c>
      <c r="L7" s="32">
        <v>3.0</v>
      </c>
      <c r="M7" s="32">
        <v>2.0</v>
      </c>
      <c r="N7" s="32">
        <v>3.0</v>
      </c>
      <c r="O7" s="32">
        <v>4.0</v>
      </c>
      <c r="P7" s="32">
        <v>2.0</v>
      </c>
      <c r="Q7" s="32">
        <v>1.0</v>
      </c>
      <c r="R7" s="32">
        <v>2.0</v>
      </c>
      <c r="S7" s="32">
        <v>1.0</v>
      </c>
      <c r="T7" s="32">
        <v>1.0</v>
      </c>
      <c r="U7" s="32">
        <v>0.0</v>
      </c>
      <c r="V7" s="32">
        <v>1.0</v>
      </c>
      <c r="W7" s="32">
        <v>1.0</v>
      </c>
      <c r="X7" s="32">
        <v>0.0</v>
      </c>
      <c r="Y7" s="32">
        <v>2.0</v>
      </c>
      <c r="Z7" s="32">
        <v>2.0</v>
      </c>
      <c r="AA7" s="32">
        <v>1.0</v>
      </c>
      <c r="AB7" s="32">
        <v>1.0</v>
      </c>
      <c r="AC7" s="32">
        <v>2.0</v>
      </c>
      <c r="AD7" s="32">
        <v>3.0</v>
      </c>
      <c r="AE7" s="32">
        <v>3.0</v>
      </c>
      <c r="AF7" s="32">
        <v>2.0</v>
      </c>
      <c r="AG7" s="32">
        <v>2.0</v>
      </c>
      <c r="AH7" s="32">
        <v>4.0</v>
      </c>
      <c r="AI7" s="32">
        <v>4.0</v>
      </c>
      <c r="AJ7" s="32">
        <v>3.0</v>
      </c>
      <c r="AK7" s="32">
        <v>2.0</v>
      </c>
      <c r="AL7" s="32">
        <v>4.0</v>
      </c>
      <c r="AM7" s="32">
        <v>1.0</v>
      </c>
      <c r="AN7" s="32">
        <v>1.0</v>
      </c>
      <c r="AO7" s="4">
        <v>2.0</v>
      </c>
      <c r="AP7" s="4">
        <v>2.0</v>
      </c>
      <c r="AQ7" s="4">
        <v>2.0</v>
      </c>
      <c r="AR7" s="4">
        <v>3.0</v>
      </c>
      <c r="AS7" s="4">
        <v>2.0</v>
      </c>
      <c r="AT7" s="4">
        <v>2.0</v>
      </c>
      <c r="AU7" s="4">
        <v>3.0</v>
      </c>
      <c r="AV7" s="4">
        <v>2.0</v>
      </c>
      <c r="AW7" s="4">
        <v>4.0</v>
      </c>
      <c r="AX7" s="4">
        <v>1.0</v>
      </c>
      <c r="AY7" s="4">
        <v>1.0</v>
      </c>
      <c r="AZ7" s="4">
        <v>4.0</v>
      </c>
      <c r="BA7" s="4">
        <v>3.0</v>
      </c>
      <c r="BB7" s="4">
        <v>3.0</v>
      </c>
      <c r="BC7" s="4">
        <v>3.0</v>
      </c>
    </row>
    <row r="8">
      <c r="A8" s="4" t="s">
        <v>31</v>
      </c>
      <c r="B8" s="31">
        <f t="shared" si="2"/>
        <v>88</v>
      </c>
      <c r="C8" s="32">
        <v>0.0</v>
      </c>
      <c r="D8" s="32">
        <v>1.0</v>
      </c>
      <c r="E8" s="32">
        <v>0.0</v>
      </c>
      <c r="F8" s="32">
        <v>2.0</v>
      </c>
      <c r="G8" s="32">
        <v>1.0</v>
      </c>
      <c r="H8" s="32">
        <v>2.0</v>
      </c>
      <c r="I8" s="32">
        <v>0.0</v>
      </c>
      <c r="J8" s="32">
        <v>1.0</v>
      </c>
      <c r="K8" s="32">
        <v>1.0</v>
      </c>
      <c r="L8" s="32">
        <v>2.0</v>
      </c>
      <c r="M8" s="32">
        <v>2.0</v>
      </c>
      <c r="N8" s="32">
        <v>2.0</v>
      </c>
      <c r="O8" s="32">
        <v>1.0</v>
      </c>
      <c r="P8" s="32">
        <v>0.0</v>
      </c>
      <c r="Q8" s="32">
        <v>0.0</v>
      </c>
      <c r="R8" s="4">
        <v>2.0</v>
      </c>
      <c r="S8" s="4">
        <v>3.0</v>
      </c>
      <c r="T8" s="4">
        <v>3.0</v>
      </c>
      <c r="U8" s="4">
        <v>1.0</v>
      </c>
      <c r="V8" s="4">
        <v>3.0</v>
      </c>
      <c r="W8" s="4">
        <v>5.0</v>
      </c>
      <c r="X8" s="4">
        <v>3.0</v>
      </c>
      <c r="Y8" s="4">
        <v>5.0</v>
      </c>
      <c r="Z8" s="4">
        <v>2.0</v>
      </c>
      <c r="AA8" s="4">
        <v>2.0</v>
      </c>
      <c r="AB8" s="4">
        <v>2.0</v>
      </c>
      <c r="AC8" s="4">
        <v>0.0</v>
      </c>
      <c r="AD8" s="4">
        <v>1.0</v>
      </c>
      <c r="AE8" s="4">
        <v>2.0</v>
      </c>
      <c r="AF8" s="4">
        <v>4.0</v>
      </c>
      <c r="AG8" s="4">
        <v>2.0</v>
      </c>
      <c r="AH8" s="4">
        <v>1.0</v>
      </c>
      <c r="AI8" s="4">
        <v>2.0</v>
      </c>
      <c r="AJ8" s="4">
        <v>1.0</v>
      </c>
      <c r="AK8" s="4">
        <v>4.0</v>
      </c>
      <c r="AL8" s="4">
        <v>1.0</v>
      </c>
      <c r="AM8" s="4">
        <v>2.0</v>
      </c>
      <c r="AN8" s="4">
        <v>2.0</v>
      </c>
      <c r="AO8" s="4">
        <v>3.0</v>
      </c>
      <c r="AP8" s="4">
        <v>2.0</v>
      </c>
      <c r="AQ8" s="4">
        <v>1.0</v>
      </c>
      <c r="AR8" s="4">
        <v>2.0</v>
      </c>
      <c r="AS8" s="4">
        <v>0.0</v>
      </c>
      <c r="AT8" s="4">
        <v>2.0</v>
      </c>
      <c r="AU8" s="4">
        <v>1.0</v>
      </c>
      <c r="AV8" s="4">
        <v>2.0</v>
      </c>
      <c r="AW8" s="4">
        <v>2.0</v>
      </c>
      <c r="AX8" s="4">
        <v>3.0</v>
      </c>
      <c r="AY8" s="4">
        <v>2.0</v>
      </c>
      <c r="AZ8" s="4">
        <v>0.0</v>
      </c>
      <c r="BA8" s="4">
        <v>0.0</v>
      </c>
      <c r="BB8" s="4">
        <v>0.0</v>
      </c>
      <c r="BC8" s="4">
        <v>0.0</v>
      </c>
    </row>
    <row r="9">
      <c r="A9" s="4" t="s">
        <v>26</v>
      </c>
      <c r="B9" s="31">
        <f t="shared" si="2"/>
        <v>83</v>
      </c>
      <c r="C9" s="32">
        <v>0.0</v>
      </c>
      <c r="D9" s="32">
        <v>2.0</v>
      </c>
      <c r="E9" s="32">
        <v>0.0</v>
      </c>
      <c r="F9" s="32">
        <v>2.0</v>
      </c>
      <c r="G9" s="32">
        <v>4.0</v>
      </c>
      <c r="H9" s="32">
        <v>1.0</v>
      </c>
      <c r="I9" s="32">
        <v>3.0</v>
      </c>
      <c r="J9" s="32">
        <v>0.0</v>
      </c>
      <c r="K9" s="32">
        <v>0.0</v>
      </c>
      <c r="L9" s="32">
        <v>2.0</v>
      </c>
      <c r="M9" s="32">
        <v>0.0</v>
      </c>
      <c r="N9" s="32">
        <v>5.0</v>
      </c>
      <c r="O9" s="32">
        <v>1.0</v>
      </c>
      <c r="P9" s="32">
        <v>3.0</v>
      </c>
      <c r="Q9" s="32">
        <v>4.0</v>
      </c>
      <c r="R9" s="32">
        <v>0.0</v>
      </c>
      <c r="S9" s="32">
        <v>1.0</v>
      </c>
      <c r="T9" s="32">
        <v>0.0</v>
      </c>
      <c r="U9" s="4">
        <v>1.0</v>
      </c>
      <c r="V9" s="4">
        <v>1.0</v>
      </c>
      <c r="W9" s="4">
        <v>6.0</v>
      </c>
      <c r="X9" s="4">
        <v>2.0</v>
      </c>
      <c r="Y9" s="4">
        <v>4.0</v>
      </c>
      <c r="Z9" s="4">
        <v>0.0</v>
      </c>
      <c r="AA9" s="4">
        <v>0.0</v>
      </c>
      <c r="AB9" s="4">
        <v>1.0</v>
      </c>
      <c r="AC9" s="4">
        <v>0.0</v>
      </c>
      <c r="AD9" s="4">
        <v>1.0</v>
      </c>
      <c r="AE9" s="4">
        <v>1.0</v>
      </c>
      <c r="AF9" s="4">
        <v>1.0</v>
      </c>
      <c r="AG9" s="4">
        <v>1.0</v>
      </c>
      <c r="AH9" s="4">
        <v>3.0</v>
      </c>
      <c r="AI9" s="4">
        <v>2.0</v>
      </c>
      <c r="AJ9" s="4">
        <v>0.0</v>
      </c>
      <c r="AK9" s="4">
        <v>1.0</v>
      </c>
      <c r="AL9" s="4">
        <v>0.0</v>
      </c>
      <c r="AM9" s="4">
        <v>2.0</v>
      </c>
      <c r="AN9" s="4">
        <v>1.0</v>
      </c>
      <c r="AO9" s="4">
        <v>1.0</v>
      </c>
      <c r="AP9" s="4">
        <v>0.0</v>
      </c>
      <c r="AQ9" s="4">
        <v>3.0</v>
      </c>
      <c r="AR9" s="4">
        <v>5.0</v>
      </c>
      <c r="AS9" s="4">
        <v>0.0</v>
      </c>
      <c r="AT9" s="4">
        <v>4.0</v>
      </c>
      <c r="AU9" s="4">
        <v>0.0</v>
      </c>
      <c r="AV9" s="4">
        <v>3.0</v>
      </c>
      <c r="AW9" s="4">
        <v>3.0</v>
      </c>
      <c r="AX9" s="4">
        <v>1.0</v>
      </c>
      <c r="AY9" s="4">
        <v>3.0</v>
      </c>
      <c r="AZ9" s="4">
        <v>1.0</v>
      </c>
      <c r="BA9" s="4">
        <v>1.0</v>
      </c>
      <c r="BB9" s="4">
        <v>1.0</v>
      </c>
      <c r="BC9" s="4">
        <v>1.0</v>
      </c>
    </row>
    <row r="10">
      <c r="A10" s="4" t="s">
        <v>20</v>
      </c>
      <c r="B10" s="31">
        <f t="shared" si="2"/>
        <v>75</v>
      </c>
      <c r="C10" s="32">
        <v>0.0</v>
      </c>
      <c r="D10" s="32">
        <v>2.0</v>
      </c>
      <c r="E10" s="32">
        <v>1.0</v>
      </c>
      <c r="F10" s="32">
        <v>2.0</v>
      </c>
      <c r="G10" s="32">
        <v>2.0</v>
      </c>
      <c r="H10" s="32">
        <v>1.0</v>
      </c>
      <c r="I10" s="32">
        <v>1.0</v>
      </c>
      <c r="J10" s="32">
        <v>1.0</v>
      </c>
      <c r="K10" s="32">
        <v>1.0</v>
      </c>
      <c r="L10" s="32">
        <v>1.0</v>
      </c>
      <c r="M10" s="32">
        <v>1.0</v>
      </c>
      <c r="N10" s="32">
        <v>3.0</v>
      </c>
      <c r="O10" s="32">
        <v>1.0</v>
      </c>
      <c r="P10" s="32">
        <v>1.0</v>
      </c>
      <c r="Q10" s="32">
        <v>2.0</v>
      </c>
      <c r="R10" s="32">
        <v>1.0</v>
      </c>
      <c r="S10" s="32">
        <v>2.0</v>
      </c>
      <c r="T10" s="32">
        <v>3.0</v>
      </c>
      <c r="U10" s="32">
        <v>0.0</v>
      </c>
      <c r="V10" s="32">
        <v>0.0</v>
      </c>
      <c r="W10" s="4">
        <v>1.0</v>
      </c>
      <c r="X10" s="4">
        <v>2.0</v>
      </c>
      <c r="Y10" s="4">
        <v>3.0</v>
      </c>
      <c r="Z10" s="4">
        <v>2.0</v>
      </c>
      <c r="AA10" s="4">
        <v>0.0</v>
      </c>
      <c r="AB10" s="4">
        <v>2.0</v>
      </c>
      <c r="AC10" s="4">
        <v>2.0</v>
      </c>
      <c r="AD10" s="4">
        <v>0.0</v>
      </c>
      <c r="AE10" s="4">
        <v>2.0</v>
      </c>
      <c r="AF10" s="4">
        <v>0.0</v>
      </c>
      <c r="AG10" s="4">
        <v>2.0</v>
      </c>
      <c r="AH10" s="4">
        <v>0.0</v>
      </c>
      <c r="AI10" s="4">
        <v>5.0</v>
      </c>
      <c r="AJ10" s="4">
        <v>2.0</v>
      </c>
      <c r="AK10" s="4">
        <v>2.0</v>
      </c>
      <c r="AL10" s="4">
        <v>2.0</v>
      </c>
      <c r="AM10" s="4">
        <v>1.0</v>
      </c>
      <c r="AN10" s="4">
        <v>0.0</v>
      </c>
      <c r="AO10" s="4">
        <v>3.0</v>
      </c>
      <c r="AP10" s="4">
        <v>1.0</v>
      </c>
      <c r="AQ10" s="4">
        <v>1.0</v>
      </c>
      <c r="AR10" s="4">
        <v>5.0</v>
      </c>
      <c r="AS10" s="4">
        <v>0.0</v>
      </c>
      <c r="AT10" s="4">
        <v>3.0</v>
      </c>
      <c r="AU10" s="4">
        <v>2.0</v>
      </c>
      <c r="AV10" s="4">
        <v>0.0</v>
      </c>
      <c r="AW10" s="4">
        <v>2.0</v>
      </c>
      <c r="AX10" s="4">
        <v>0.0</v>
      </c>
      <c r="AY10" s="4">
        <v>1.0</v>
      </c>
      <c r="AZ10" s="4">
        <v>1.0</v>
      </c>
      <c r="BA10" s="4">
        <v>0.0</v>
      </c>
      <c r="BB10" s="4">
        <v>1.0</v>
      </c>
      <c r="BC10" s="4">
        <v>1.0</v>
      </c>
    </row>
    <row r="11">
      <c r="A11" s="4" t="s">
        <v>22</v>
      </c>
      <c r="B11" s="31">
        <f t="shared" si="2"/>
        <v>72</v>
      </c>
      <c r="C11" s="32">
        <v>0.0</v>
      </c>
      <c r="D11" s="32">
        <v>2.0</v>
      </c>
      <c r="E11" s="32">
        <v>1.0</v>
      </c>
      <c r="F11" s="32">
        <v>1.0</v>
      </c>
      <c r="G11" s="32">
        <v>12.0</v>
      </c>
      <c r="H11" s="32">
        <v>2.0</v>
      </c>
      <c r="I11" s="32">
        <v>2.0</v>
      </c>
      <c r="J11" s="32">
        <v>1.0</v>
      </c>
      <c r="K11" s="32">
        <v>2.0</v>
      </c>
      <c r="L11" s="32">
        <v>0.0</v>
      </c>
      <c r="M11" s="32">
        <v>4.0</v>
      </c>
      <c r="N11" s="32">
        <v>1.0</v>
      </c>
      <c r="O11" s="32">
        <v>3.0</v>
      </c>
      <c r="P11" s="32">
        <v>1.0</v>
      </c>
      <c r="Q11" s="32">
        <v>3.0</v>
      </c>
      <c r="R11" s="32">
        <v>0.0</v>
      </c>
      <c r="S11" s="32">
        <v>1.0</v>
      </c>
      <c r="T11" s="32">
        <v>0.0</v>
      </c>
      <c r="U11" s="4">
        <v>3.0</v>
      </c>
      <c r="V11" s="4">
        <v>1.0</v>
      </c>
      <c r="W11" s="4">
        <v>2.0</v>
      </c>
      <c r="X11" s="4">
        <v>3.0</v>
      </c>
      <c r="Y11" s="4">
        <v>3.0</v>
      </c>
      <c r="Z11" s="4">
        <v>2.0</v>
      </c>
      <c r="AA11" s="4">
        <v>0.0</v>
      </c>
      <c r="AB11" s="4">
        <v>1.0</v>
      </c>
      <c r="AC11" s="4">
        <v>1.0</v>
      </c>
      <c r="AD11" s="4">
        <v>1.0</v>
      </c>
      <c r="AE11" s="4">
        <v>0.0</v>
      </c>
      <c r="AF11" s="4">
        <v>0.0</v>
      </c>
      <c r="AG11" s="4">
        <v>0.0</v>
      </c>
      <c r="AH11" s="4">
        <v>0.0</v>
      </c>
      <c r="AI11" s="4">
        <v>0.0</v>
      </c>
      <c r="AJ11" s="4">
        <v>0.0</v>
      </c>
      <c r="AK11" s="4">
        <v>0.0</v>
      </c>
      <c r="AL11" s="4">
        <v>2.0</v>
      </c>
      <c r="AM11" s="4">
        <v>2.0</v>
      </c>
      <c r="AN11" s="4">
        <v>0.0</v>
      </c>
      <c r="AO11" s="4">
        <v>0.0</v>
      </c>
      <c r="AP11" s="4">
        <v>0.0</v>
      </c>
      <c r="AQ11" s="4">
        <v>0.0</v>
      </c>
      <c r="AR11" s="4">
        <v>0.0</v>
      </c>
      <c r="AS11" s="4">
        <v>1.0</v>
      </c>
      <c r="AT11" s="4">
        <v>0.0</v>
      </c>
      <c r="AU11" s="4">
        <v>2.0</v>
      </c>
      <c r="AV11" s="4">
        <v>1.0</v>
      </c>
      <c r="AW11" s="4">
        <v>0.0</v>
      </c>
      <c r="AX11" s="4">
        <v>2.0</v>
      </c>
      <c r="AY11" s="4">
        <v>1.0</v>
      </c>
      <c r="AZ11" s="4">
        <v>1.0</v>
      </c>
      <c r="BA11" s="4">
        <v>1.0</v>
      </c>
      <c r="BB11" s="4">
        <v>2.0</v>
      </c>
      <c r="BC11" s="4">
        <v>4.0</v>
      </c>
    </row>
    <row r="12">
      <c r="A12" s="4" t="s">
        <v>35</v>
      </c>
      <c r="B12" s="31">
        <f t="shared" si="2"/>
        <v>68</v>
      </c>
      <c r="C12" s="32">
        <v>0.0</v>
      </c>
      <c r="D12" s="32">
        <v>1.0</v>
      </c>
      <c r="E12" s="32">
        <v>0.0</v>
      </c>
      <c r="F12" s="32">
        <v>0.0</v>
      </c>
      <c r="G12" s="32">
        <v>3.0</v>
      </c>
      <c r="H12" s="32">
        <v>3.0</v>
      </c>
      <c r="I12" s="32">
        <v>2.0</v>
      </c>
      <c r="J12" s="32">
        <v>1.0</v>
      </c>
      <c r="K12" s="32">
        <v>0.0</v>
      </c>
      <c r="L12" s="32">
        <v>2.0</v>
      </c>
      <c r="M12" s="32">
        <v>0.0</v>
      </c>
      <c r="N12" s="32">
        <v>1.0</v>
      </c>
      <c r="O12" s="32">
        <v>0.0</v>
      </c>
      <c r="P12" s="32">
        <v>2.0</v>
      </c>
      <c r="Q12" s="32">
        <v>1.0</v>
      </c>
      <c r="R12" s="32">
        <v>7.0</v>
      </c>
      <c r="S12" s="32">
        <v>1.0</v>
      </c>
      <c r="T12" s="32">
        <v>1.0</v>
      </c>
      <c r="U12" s="32">
        <v>0.0</v>
      </c>
      <c r="V12" s="4">
        <v>1.0</v>
      </c>
      <c r="W12" s="4">
        <v>6.0</v>
      </c>
      <c r="X12" s="4">
        <v>4.0</v>
      </c>
      <c r="Y12" s="4">
        <v>1.0</v>
      </c>
      <c r="Z12" s="4">
        <v>0.0</v>
      </c>
      <c r="AA12" s="4">
        <v>4.0</v>
      </c>
      <c r="AB12" s="4">
        <v>3.0</v>
      </c>
      <c r="AC12" s="4">
        <v>1.0</v>
      </c>
      <c r="AD12" s="4">
        <v>1.0</v>
      </c>
      <c r="AE12" s="4">
        <v>0.0</v>
      </c>
      <c r="AF12" s="4">
        <v>1.0</v>
      </c>
      <c r="AG12" s="4">
        <v>1.0</v>
      </c>
      <c r="AH12" s="4">
        <v>0.0</v>
      </c>
      <c r="AI12" s="4">
        <v>1.0</v>
      </c>
      <c r="AJ12" s="4">
        <v>1.0</v>
      </c>
      <c r="AK12" s="4">
        <v>0.0</v>
      </c>
      <c r="AL12" s="4">
        <v>1.0</v>
      </c>
      <c r="AM12" s="4">
        <v>0.0</v>
      </c>
      <c r="AN12" s="4">
        <v>1.0</v>
      </c>
      <c r="AO12" s="4">
        <v>0.0</v>
      </c>
      <c r="AP12" s="4">
        <v>2.0</v>
      </c>
      <c r="AQ12" s="4">
        <v>5.0</v>
      </c>
      <c r="AR12" s="4">
        <v>2.0</v>
      </c>
      <c r="AS12" s="4">
        <v>0.0</v>
      </c>
      <c r="AT12" s="4">
        <v>1.0</v>
      </c>
      <c r="AU12" s="4">
        <v>0.0</v>
      </c>
      <c r="AV12" s="4">
        <v>1.0</v>
      </c>
      <c r="AW12" s="4">
        <v>1.0</v>
      </c>
      <c r="AX12" s="4">
        <v>0.0</v>
      </c>
      <c r="AY12" s="4">
        <v>1.0</v>
      </c>
      <c r="AZ12" s="4">
        <v>1.0</v>
      </c>
      <c r="BA12" s="4">
        <v>0.0</v>
      </c>
      <c r="BB12" s="4">
        <v>1.0</v>
      </c>
      <c r="BC12" s="4">
        <v>1.0</v>
      </c>
    </row>
    <row r="13">
      <c r="A13" s="4" t="s">
        <v>28</v>
      </c>
      <c r="B13" s="31">
        <f t="shared" si="2"/>
        <v>63</v>
      </c>
      <c r="C13" s="32">
        <v>0.0</v>
      </c>
      <c r="D13" s="32">
        <v>2.0</v>
      </c>
      <c r="E13" s="32">
        <v>7.0</v>
      </c>
      <c r="F13" s="32">
        <v>3.0</v>
      </c>
      <c r="G13" s="32">
        <v>13.0</v>
      </c>
      <c r="H13" s="32">
        <v>4.0</v>
      </c>
      <c r="I13" s="32">
        <v>2.0</v>
      </c>
      <c r="J13" s="32">
        <v>4.0</v>
      </c>
      <c r="K13" s="32">
        <v>1.0</v>
      </c>
      <c r="L13" s="32">
        <v>5.0</v>
      </c>
      <c r="M13" s="32">
        <v>1.0</v>
      </c>
      <c r="N13" s="32">
        <v>4.0</v>
      </c>
      <c r="O13" s="32">
        <v>2.0</v>
      </c>
      <c r="P13" s="32">
        <v>1.0</v>
      </c>
      <c r="Q13" s="32">
        <v>1.0</v>
      </c>
      <c r="R13" s="32">
        <v>2.0</v>
      </c>
      <c r="S13" s="32">
        <v>1.0</v>
      </c>
      <c r="T13" s="32">
        <v>1.0</v>
      </c>
      <c r="U13" s="32">
        <v>0.0</v>
      </c>
      <c r="V13" s="4">
        <v>1.0</v>
      </c>
      <c r="W13" s="4">
        <v>1.0</v>
      </c>
      <c r="X13" s="4">
        <v>1.0</v>
      </c>
      <c r="Y13" s="4">
        <v>0.0</v>
      </c>
      <c r="Z13" s="4">
        <v>0.0</v>
      </c>
      <c r="AA13" s="4">
        <v>1.0</v>
      </c>
      <c r="AB13" s="4">
        <v>1.0</v>
      </c>
      <c r="AC13" s="4">
        <v>0.0</v>
      </c>
      <c r="AD13" s="4">
        <v>0.0</v>
      </c>
      <c r="AE13" s="4">
        <v>0.0</v>
      </c>
      <c r="AF13" s="4">
        <v>2.0</v>
      </c>
      <c r="AG13" s="4">
        <v>1.0</v>
      </c>
      <c r="AH13" s="4">
        <v>0.0</v>
      </c>
      <c r="AI13" s="4">
        <v>0.0</v>
      </c>
      <c r="AJ13" s="4">
        <v>1.0</v>
      </c>
      <c r="AK13" s="4">
        <v>0.0</v>
      </c>
      <c r="AL13" s="4">
        <v>0.0</v>
      </c>
      <c r="AM13" s="4">
        <v>0.0</v>
      </c>
      <c r="AN13" s="4">
        <v>0.0</v>
      </c>
      <c r="AO13" s="4">
        <v>0.0</v>
      </c>
      <c r="AP13" s="4">
        <v>0.0</v>
      </c>
      <c r="AQ13" s="4">
        <v>0.0</v>
      </c>
      <c r="AR13" s="4">
        <v>0.0</v>
      </c>
      <c r="AS13" s="4">
        <v>0.0</v>
      </c>
      <c r="AT13" s="4">
        <v>0.0</v>
      </c>
      <c r="AU13" s="4">
        <v>0.0</v>
      </c>
      <c r="AV13" s="4">
        <v>0.0</v>
      </c>
      <c r="AW13" s="4">
        <v>0.0</v>
      </c>
      <c r="AX13" s="4">
        <v>0.0</v>
      </c>
      <c r="AY13" s="4">
        <v>0.0</v>
      </c>
      <c r="AZ13" s="4">
        <v>0.0</v>
      </c>
      <c r="BA13" s="4">
        <v>0.0</v>
      </c>
      <c r="BB13" s="4">
        <v>0.0</v>
      </c>
      <c r="BC13" s="4">
        <v>0.0</v>
      </c>
    </row>
    <row r="14">
      <c r="A14" s="4" t="s">
        <v>21</v>
      </c>
      <c r="B14" s="31">
        <f t="shared" si="2"/>
        <v>53</v>
      </c>
      <c r="C14" s="32">
        <v>1.0</v>
      </c>
      <c r="D14" s="32">
        <v>2.0</v>
      </c>
      <c r="E14" s="32">
        <v>1.0</v>
      </c>
      <c r="F14" s="32">
        <v>2.0</v>
      </c>
      <c r="G14" s="32">
        <v>4.0</v>
      </c>
      <c r="H14" s="32">
        <v>6.0</v>
      </c>
      <c r="I14" s="32">
        <v>2.0</v>
      </c>
      <c r="J14" s="32">
        <v>4.0</v>
      </c>
      <c r="K14" s="32">
        <v>5.0</v>
      </c>
      <c r="L14" s="32">
        <v>3.0</v>
      </c>
      <c r="M14" s="32">
        <v>1.0</v>
      </c>
      <c r="N14" s="32">
        <v>2.0</v>
      </c>
      <c r="O14" s="32">
        <v>2.0</v>
      </c>
      <c r="P14" s="32">
        <v>2.0</v>
      </c>
      <c r="Q14" s="32">
        <v>2.0</v>
      </c>
      <c r="R14" s="32">
        <v>2.0</v>
      </c>
      <c r="S14" s="32">
        <v>2.0</v>
      </c>
      <c r="T14" s="32">
        <v>2.0</v>
      </c>
      <c r="U14" s="32">
        <v>2.0</v>
      </c>
      <c r="V14" s="32">
        <v>1.0</v>
      </c>
      <c r="W14" s="4">
        <v>1.0</v>
      </c>
      <c r="X14" s="4">
        <v>1.0</v>
      </c>
      <c r="Y14" s="4">
        <v>1.0</v>
      </c>
      <c r="Z14" s="4">
        <v>0.0</v>
      </c>
      <c r="AA14" s="4">
        <v>0.0</v>
      </c>
      <c r="AB14" s="4">
        <v>0.0</v>
      </c>
      <c r="AC14" s="4">
        <v>0.0</v>
      </c>
      <c r="AD14" s="4">
        <v>0.0</v>
      </c>
      <c r="AE14" s="4">
        <v>0.0</v>
      </c>
      <c r="AF14" s="4">
        <v>0.0</v>
      </c>
      <c r="AG14" s="4">
        <v>0.0</v>
      </c>
      <c r="AH14" s="4">
        <v>0.0</v>
      </c>
      <c r="AI14" s="4">
        <v>0.0</v>
      </c>
      <c r="AJ14" s="4">
        <v>1.0</v>
      </c>
      <c r="AK14" s="4">
        <v>0.0</v>
      </c>
      <c r="AL14" s="4">
        <v>0.0</v>
      </c>
      <c r="AM14" s="4">
        <v>1.0</v>
      </c>
      <c r="AN14" s="4">
        <v>0.0</v>
      </c>
      <c r="AO14" s="4">
        <v>0.0</v>
      </c>
      <c r="AP14" s="4">
        <v>0.0</v>
      </c>
      <c r="AQ14" s="4">
        <v>0.0</v>
      </c>
      <c r="AR14" s="4">
        <v>0.0</v>
      </c>
      <c r="AS14" s="4">
        <v>0.0</v>
      </c>
      <c r="AT14" s="4">
        <v>0.0</v>
      </c>
      <c r="AU14" s="4">
        <v>0.0</v>
      </c>
      <c r="AV14" s="4">
        <v>0.0</v>
      </c>
      <c r="AW14" s="4">
        <v>0.0</v>
      </c>
      <c r="AX14" s="4">
        <v>0.0</v>
      </c>
      <c r="AY14" s="4">
        <v>0.0</v>
      </c>
      <c r="AZ14" s="4">
        <v>0.0</v>
      </c>
      <c r="BA14" s="4">
        <v>0.0</v>
      </c>
      <c r="BB14" s="4">
        <v>0.0</v>
      </c>
      <c r="BC14" s="4">
        <v>0.0</v>
      </c>
    </row>
    <row r="15">
      <c r="A15" s="4" t="s">
        <v>34</v>
      </c>
      <c r="B15" s="31">
        <f t="shared" si="2"/>
        <v>42</v>
      </c>
      <c r="C15" s="32">
        <v>0.0</v>
      </c>
      <c r="D15" s="32">
        <v>0.0</v>
      </c>
      <c r="E15" s="32">
        <v>0.0</v>
      </c>
      <c r="F15" s="32">
        <v>0.0</v>
      </c>
      <c r="G15" s="32">
        <v>1.0</v>
      </c>
      <c r="H15" s="32">
        <v>2.0</v>
      </c>
      <c r="I15" s="32">
        <v>0.0</v>
      </c>
      <c r="J15" s="32">
        <v>1.0</v>
      </c>
      <c r="K15" s="32">
        <v>0.0</v>
      </c>
      <c r="L15" s="32">
        <v>1.0</v>
      </c>
      <c r="M15" s="32">
        <v>1.0</v>
      </c>
      <c r="N15" s="32">
        <v>1.0</v>
      </c>
      <c r="O15" s="32">
        <v>0.0</v>
      </c>
      <c r="P15" s="32">
        <v>2.0</v>
      </c>
      <c r="Q15" s="32">
        <v>2.0</v>
      </c>
      <c r="R15" s="32">
        <v>0.0</v>
      </c>
      <c r="S15" s="32">
        <v>0.0</v>
      </c>
      <c r="T15" s="32">
        <v>0.0</v>
      </c>
      <c r="U15" s="32">
        <v>0.0</v>
      </c>
      <c r="V15" s="4">
        <v>2.0</v>
      </c>
      <c r="W15" s="4">
        <v>2.0</v>
      </c>
      <c r="X15" s="4">
        <v>1.0</v>
      </c>
      <c r="Y15" s="4">
        <v>1.0</v>
      </c>
      <c r="Z15" s="4">
        <v>0.0</v>
      </c>
      <c r="AA15" s="4">
        <v>1.0</v>
      </c>
      <c r="AB15" s="4">
        <v>0.0</v>
      </c>
      <c r="AC15" s="4">
        <v>1.0</v>
      </c>
      <c r="AD15" s="4">
        <v>0.0</v>
      </c>
      <c r="AE15" s="4">
        <v>1.0</v>
      </c>
      <c r="AF15" s="4">
        <v>0.0</v>
      </c>
      <c r="AG15" s="4">
        <v>2.0</v>
      </c>
      <c r="AH15" s="4">
        <v>0.0</v>
      </c>
      <c r="AI15" s="4">
        <v>2.0</v>
      </c>
      <c r="AJ15" s="4">
        <v>0.0</v>
      </c>
      <c r="AK15" s="4">
        <v>1.0</v>
      </c>
      <c r="AL15" s="4">
        <v>2.0</v>
      </c>
      <c r="AM15" s="4">
        <v>1.0</v>
      </c>
      <c r="AN15" s="4">
        <v>0.0</v>
      </c>
      <c r="AO15" s="4">
        <v>1.0</v>
      </c>
      <c r="AP15" s="4">
        <v>1.0</v>
      </c>
      <c r="AQ15" s="4">
        <v>0.0</v>
      </c>
      <c r="AR15" s="4">
        <v>0.0</v>
      </c>
      <c r="AS15" s="4">
        <v>2.0</v>
      </c>
      <c r="AT15" s="4">
        <v>0.0</v>
      </c>
      <c r="AU15" s="4">
        <v>3.0</v>
      </c>
      <c r="AV15" s="4">
        <v>0.0</v>
      </c>
      <c r="AW15" s="4">
        <v>1.0</v>
      </c>
      <c r="AX15" s="4">
        <v>1.0</v>
      </c>
      <c r="AY15" s="4">
        <v>0.0</v>
      </c>
      <c r="AZ15" s="4">
        <v>1.0</v>
      </c>
      <c r="BA15" s="4">
        <v>1.0</v>
      </c>
      <c r="BB15" s="4">
        <v>1.0</v>
      </c>
      <c r="BC15" s="4">
        <v>2.0</v>
      </c>
    </row>
    <row r="16">
      <c r="A16" s="4" t="s">
        <v>36</v>
      </c>
      <c r="B16" s="31">
        <f t="shared" si="2"/>
        <v>38</v>
      </c>
      <c r="C16" s="32">
        <v>0.0</v>
      </c>
      <c r="D16" s="32">
        <v>0.0</v>
      </c>
      <c r="E16" s="32">
        <v>0.0</v>
      </c>
      <c r="F16" s="32">
        <v>0.0</v>
      </c>
      <c r="G16" s="32">
        <v>1.0</v>
      </c>
      <c r="H16" s="32">
        <v>0.0</v>
      </c>
      <c r="I16" s="32">
        <v>0.0</v>
      </c>
      <c r="J16" s="32">
        <v>0.0</v>
      </c>
      <c r="K16" s="32">
        <v>0.0</v>
      </c>
      <c r="L16" s="32">
        <v>1.0</v>
      </c>
      <c r="M16" s="32">
        <v>3.0</v>
      </c>
      <c r="N16" s="32">
        <v>0.0</v>
      </c>
      <c r="O16" s="32">
        <v>0.0</v>
      </c>
      <c r="P16" s="32">
        <v>0.0</v>
      </c>
      <c r="Q16" s="32">
        <v>0.0</v>
      </c>
      <c r="R16" s="32">
        <v>0.0</v>
      </c>
      <c r="S16" s="32">
        <v>1.0</v>
      </c>
      <c r="T16" s="32">
        <v>2.0</v>
      </c>
      <c r="U16" s="32">
        <v>0.0</v>
      </c>
      <c r="V16" s="32">
        <v>2.0</v>
      </c>
      <c r="W16" s="32">
        <v>0.0</v>
      </c>
      <c r="X16" s="4">
        <v>2.0</v>
      </c>
      <c r="Y16" s="4">
        <v>2.0</v>
      </c>
      <c r="Z16" s="4">
        <v>1.0</v>
      </c>
      <c r="AA16" s="4">
        <v>2.0</v>
      </c>
      <c r="AB16" s="4">
        <v>0.0</v>
      </c>
      <c r="AC16" s="4">
        <v>0.0</v>
      </c>
      <c r="AD16" s="4">
        <v>1.0</v>
      </c>
      <c r="AE16" s="4">
        <v>2.0</v>
      </c>
      <c r="AF16" s="4">
        <v>3.0</v>
      </c>
      <c r="AG16" s="4">
        <v>0.0</v>
      </c>
      <c r="AH16" s="4">
        <v>1.0</v>
      </c>
      <c r="AI16" s="4">
        <v>4.0</v>
      </c>
      <c r="AJ16" s="4">
        <v>1.0</v>
      </c>
      <c r="AK16" s="4">
        <v>1.0</v>
      </c>
      <c r="AL16" s="4">
        <v>1.0</v>
      </c>
      <c r="AM16" s="4">
        <v>1.0</v>
      </c>
      <c r="AN16" s="4">
        <v>0.0</v>
      </c>
      <c r="AO16" s="4">
        <v>2.0</v>
      </c>
      <c r="AP16" s="4">
        <v>1.0</v>
      </c>
      <c r="AQ16" s="4">
        <v>0.0</v>
      </c>
      <c r="AR16" s="4">
        <v>0.0</v>
      </c>
      <c r="AS16" s="4">
        <v>0.0</v>
      </c>
      <c r="AT16" s="4">
        <v>0.0</v>
      </c>
      <c r="AU16" s="4">
        <v>0.0</v>
      </c>
      <c r="AV16" s="4">
        <v>0.0</v>
      </c>
      <c r="AW16" s="4">
        <v>0.0</v>
      </c>
      <c r="AX16" s="4">
        <v>0.0</v>
      </c>
      <c r="AY16" s="4">
        <v>1.0</v>
      </c>
      <c r="AZ16" s="4">
        <v>0.0</v>
      </c>
      <c r="BA16" s="4">
        <v>1.0</v>
      </c>
      <c r="BB16" s="4">
        <v>0.0</v>
      </c>
      <c r="BC16" s="4">
        <v>1.0</v>
      </c>
    </row>
    <row r="17">
      <c r="A17" s="4" t="s">
        <v>25</v>
      </c>
      <c r="B17" s="31">
        <f t="shared" si="2"/>
        <v>41</v>
      </c>
      <c r="C17" s="32">
        <v>0.0</v>
      </c>
      <c r="D17" s="32">
        <v>2.0</v>
      </c>
      <c r="E17" s="32">
        <v>1.0</v>
      </c>
      <c r="F17" s="32">
        <v>1.0</v>
      </c>
      <c r="G17" s="32">
        <v>1.0</v>
      </c>
      <c r="H17" s="32">
        <v>2.0</v>
      </c>
      <c r="I17" s="32">
        <v>2.0</v>
      </c>
      <c r="J17" s="32">
        <v>1.0</v>
      </c>
      <c r="K17" s="32">
        <v>0.0</v>
      </c>
      <c r="L17" s="32">
        <v>2.0</v>
      </c>
      <c r="M17" s="32">
        <v>2.0</v>
      </c>
      <c r="N17" s="32">
        <v>1.0</v>
      </c>
      <c r="O17" s="32">
        <v>1.0</v>
      </c>
      <c r="P17" s="32">
        <v>1.0</v>
      </c>
      <c r="Q17" s="32">
        <v>1.0</v>
      </c>
      <c r="R17" s="32">
        <v>1.0</v>
      </c>
      <c r="S17" s="32">
        <v>0.0</v>
      </c>
      <c r="T17" s="32">
        <v>1.0</v>
      </c>
      <c r="U17" s="32">
        <v>0.0</v>
      </c>
      <c r="V17" s="32">
        <v>2.0</v>
      </c>
      <c r="W17" s="32">
        <v>1.0</v>
      </c>
      <c r="X17" s="32">
        <v>0.0</v>
      </c>
      <c r="Y17" s="4">
        <v>3.0</v>
      </c>
      <c r="Z17" s="4">
        <v>0.0</v>
      </c>
      <c r="AA17" s="4">
        <v>0.0</v>
      </c>
      <c r="AB17" s="4">
        <v>1.0</v>
      </c>
      <c r="AC17" s="4">
        <v>2.0</v>
      </c>
      <c r="AD17" s="4">
        <v>0.0</v>
      </c>
      <c r="AE17" s="4">
        <v>0.0</v>
      </c>
      <c r="AF17" s="4">
        <v>0.0</v>
      </c>
      <c r="AG17" s="4">
        <v>0.0</v>
      </c>
      <c r="AH17" s="4">
        <v>1.0</v>
      </c>
      <c r="AI17" s="4">
        <v>0.0</v>
      </c>
      <c r="AJ17" s="4">
        <v>1.0</v>
      </c>
      <c r="AK17" s="4">
        <v>1.0</v>
      </c>
      <c r="AL17" s="4">
        <v>1.0</v>
      </c>
      <c r="AM17" s="4">
        <v>1.0</v>
      </c>
      <c r="AN17" s="4">
        <v>1.0</v>
      </c>
      <c r="AO17" s="4">
        <v>0.0</v>
      </c>
      <c r="AP17" s="4">
        <v>2.0</v>
      </c>
      <c r="AQ17" s="4">
        <v>0.0</v>
      </c>
      <c r="AR17" s="4">
        <v>1.0</v>
      </c>
      <c r="AS17" s="4">
        <v>0.0</v>
      </c>
      <c r="AT17" s="4">
        <v>0.0</v>
      </c>
      <c r="AU17" s="4">
        <v>0.0</v>
      </c>
      <c r="AV17" s="4">
        <v>0.0</v>
      </c>
      <c r="AW17" s="4">
        <v>0.0</v>
      </c>
      <c r="AX17" s="4">
        <v>0.0</v>
      </c>
      <c r="AY17" s="4">
        <v>0.0</v>
      </c>
      <c r="AZ17" s="4">
        <v>0.0</v>
      </c>
      <c r="BA17" s="4">
        <v>1.0</v>
      </c>
      <c r="BB17" s="4">
        <v>1.0</v>
      </c>
      <c r="BC17" s="4">
        <v>1.0</v>
      </c>
    </row>
    <row r="18">
      <c r="A18" s="4" t="s">
        <v>46</v>
      </c>
      <c r="B18" s="31">
        <f t="shared" si="2"/>
        <v>32</v>
      </c>
      <c r="C18" s="32">
        <v>0.0</v>
      </c>
      <c r="D18" s="32">
        <v>1.0</v>
      </c>
      <c r="E18" s="32">
        <v>0.0</v>
      </c>
      <c r="F18" s="32">
        <v>0.0</v>
      </c>
      <c r="G18" s="32">
        <v>1.0</v>
      </c>
      <c r="H18" s="32">
        <v>1.0</v>
      </c>
      <c r="I18" s="32">
        <v>2.0</v>
      </c>
      <c r="J18" s="32">
        <v>3.0</v>
      </c>
      <c r="K18" s="32">
        <v>2.0</v>
      </c>
      <c r="L18" s="32">
        <v>1.0</v>
      </c>
      <c r="M18" s="32">
        <v>0.0</v>
      </c>
      <c r="N18" s="32">
        <v>0.0</v>
      </c>
      <c r="O18" s="32">
        <v>0.0</v>
      </c>
      <c r="P18" s="32">
        <v>0.0</v>
      </c>
      <c r="Q18" s="32">
        <v>0.0</v>
      </c>
      <c r="R18" s="32">
        <v>0.0</v>
      </c>
      <c r="S18" s="32">
        <v>0.0</v>
      </c>
      <c r="T18" s="32">
        <v>0.0</v>
      </c>
      <c r="U18" s="32">
        <v>0.0</v>
      </c>
      <c r="V18" s="4">
        <v>2.0</v>
      </c>
      <c r="W18" s="4">
        <v>1.0</v>
      </c>
      <c r="X18" s="4">
        <v>1.0</v>
      </c>
      <c r="Y18" s="4">
        <v>2.0</v>
      </c>
      <c r="Z18" s="4">
        <v>1.0</v>
      </c>
      <c r="AA18" s="4">
        <v>0.0</v>
      </c>
      <c r="AB18" s="4">
        <v>1.0</v>
      </c>
      <c r="AC18" s="4">
        <v>1.0</v>
      </c>
      <c r="AD18" s="4">
        <v>0.0</v>
      </c>
      <c r="AE18" s="4">
        <v>2.0</v>
      </c>
      <c r="AF18" s="4">
        <v>3.0</v>
      </c>
      <c r="AG18" s="4">
        <v>1.0</v>
      </c>
      <c r="AH18" s="4">
        <v>0.0</v>
      </c>
      <c r="AI18" s="4">
        <v>4.0</v>
      </c>
      <c r="AJ18" s="4">
        <v>2.0</v>
      </c>
      <c r="AK18" s="4">
        <v>0.0</v>
      </c>
      <c r="AL18" s="4">
        <v>0.0</v>
      </c>
      <c r="AM18" s="4">
        <v>0.0</v>
      </c>
      <c r="AN18" s="4">
        <v>0.0</v>
      </c>
      <c r="AO18" s="4">
        <v>0.0</v>
      </c>
      <c r="AP18" s="4">
        <v>0.0</v>
      </c>
      <c r="AQ18" s="4">
        <v>0.0</v>
      </c>
      <c r="AR18" s="4">
        <v>0.0</v>
      </c>
      <c r="AS18" s="4">
        <v>0.0</v>
      </c>
      <c r="AT18" s="4">
        <v>0.0</v>
      </c>
      <c r="AU18" s="4">
        <v>0.0</v>
      </c>
      <c r="AV18" s="4">
        <v>0.0</v>
      </c>
      <c r="AW18" s="4">
        <v>0.0</v>
      </c>
      <c r="AX18" s="4">
        <v>0.0</v>
      </c>
      <c r="AY18" s="4">
        <v>0.0</v>
      </c>
      <c r="AZ18" s="4">
        <v>0.0</v>
      </c>
      <c r="BA18" s="4">
        <v>0.0</v>
      </c>
      <c r="BB18" s="4">
        <v>0.0</v>
      </c>
      <c r="BC18" s="4">
        <v>0.0</v>
      </c>
    </row>
    <row r="19">
      <c r="A19" s="4" t="s">
        <v>1262</v>
      </c>
      <c r="B19" s="31">
        <f t="shared" si="2"/>
        <v>25</v>
      </c>
      <c r="C19" s="32">
        <v>0.0</v>
      </c>
      <c r="D19" s="32">
        <v>0.0</v>
      </c>
      <c r="E19" s="32">
        <v>0.0</v>
      </c>
      <c r="F19" s="32">
        <v>0.0</v>
      </c>
      <c r="G19" s="32">
        <v>2.0</v>
      </c>
      <c r="H19" s="32">
        <v>2.0</v>
      </c>
      <c r="I19" s="32">
        <v>0.0</v>
      </c>
      <c r="J19" s="32">
        <v>0.0</v>
      </c>
      <c r="K19" s="32">
        <v>0.0</v>
      </c>
      <c r="L19" s="32">
        <v>1.0</v>
      </c>
      <c r="M19" s="32">
        <v>1.0</v>
      </c>
      <c r="N19" s="32">
        <v>0.0</v>
      </c>
      <c r="O19" s="32">
        <v>1.0</v>
      </c>
      <c r="P19" s="32">
        <v>0.0</v>
      </c>
      <c r="Q19" s="32">
        <v>2.0</v>
      </c>
      <c r="R19" s="32">
        <v>0.0</v>
      </c>
      <c r="S19" s="32">
        <v>1.0</v>
      </c>
      <c r="T19" s="32">
        <v>0.0</v>
      </c>
      <c r="U19" s="32">
        <v>0.0</v>
      </c>
      <c r="V19" s="32">
        <v>0.0</v>
      </c>
      <c r="W19" s="32">
        <v>0.0</v>
      </c>
      <c r="X19" s="32">
        <v>0.0</v>
      </c>
      <c r="Y19" s="4">
        <v>1.0</v>
      </c>
      <c r="Z19" s="4">
        <v>0.0</v>
      </c>
      <c r="AA19" s="4">
        <v>1.0</v>
      </c>
      <c r="AB19" s="4">
        <v>1.0</v>
      </c>
      <c r="AC19" s="4">
        <v>0.0</v>
      </c>
      <c r="AD19" s="4">
        <v>0.0</v>
      </c>
      <c r="AE19" s="4">
        <v>0.0</v>
      </c>
      <c r="AF19" s="4">
        <v>0.0</v>
      </c>
      <c r="AG19" s="4">
        <v>1.0</v>
      </c>
      <c r="AH19" s="4">
        <v>0.0</v>
      </c>
      <c r="AI19" s="4">
        <v>1.0</v>
      </c>
      <c r="AJ19" s="4">
        <v>0.0</v>
      </c>
      <c r="AK19" s="4">
        <v>0.0</v>
      </c>
      <c r="AL19" s="4">
        <v>0.0</v>
      </c>
      <c r="AM19" s="4">
        <v>0.0</v>
      </c>
      <c r="AN19" s="4">
        <v>2.0</v>
      </c>
      <c r="AO19" s="4">
        <v>2.0</v>
      </c>
      <c r="AP19" s="4">
        <v>1.0</v>
      </c>
      <c r="AQ19" s="4">
        <v>0.0</v>
      </c>
      <c r="AR19" s="4">
        <v>1.0</v>
      </c>
      <c r="AS19" s="4">
        <v>1.0</v>
      </c>
      <c r="AT19" s="4">
        <v>1.0</v>
      </c>
      <c r="AU19" s="4">
        <v>0.0</v>
      </c>
      <c r="AV19" s="4">
        <v>0.0</v>
      </c>
      <c r="AW19" s="4">
        <v>0.0</v>
      </c>
      <c r="AX19" s="4">
        <v>0.0</v>
      </c>
      <c r="AY19" s="4">
        <v>0.0</v>
      </c>
      <c r="AZ19" s="4">
        <v>0.0</v>
      </c>
      <c r="BA19" s="4">
        <v>0.0</v>
      </c>
      <c r="BB19" s="4">
        <v>0.0</v>
      </c>
      <c r="BC19" s="4">
        <v>2.0</v>
      </c>
    </row>
    <row r="20">
      <c r="A20" s="4" t="s">
        <v>30</v>
      </c>
      <c r="B20" s="31">
        <f t="shared" si="2"/>
        <v>26</v>
      </c>
      <c r="C20" s="32">
        <v>0.0</v>
      </c>
      <c r="D20" s="32">
        <v>1.0</v>
      </c>
      <c r="E20" s="32">
        <v>0.0</v>
      </c>
      <c r="F20" s="32">
        <v>1.0</v>
      </c>
      <c r="G20" s="32">
        <v>0.0</v>
      </c>
      <c r="H20" s="32">
        <v>1.0</v>
      </c>
      <c r="I20" s="32">
        <v>0.0</v>
      </c>
      <c r="J20" s="32">
        <v>1.0</v>
      </c>
      <c r="K20" s="32">
        <v>1.0</v>
      </c>
      <c r="L20" s="32">
        <v>1.0</v>
      </c>
      <c r="M20" s="32">
        <v>1.0</v>
      </c>
      <c r="N20" s="32">
        <v>0.0</v>
      </c>
      <c r="O20" s="32">
        <v>0.0</v>
      </c>
      <c r="P20" s="32">
        <v>1.0</v>
      </c>
      <c r="Q20" s="32">
        <v>0.0</v>
      </c>
      <c r="R20" s="32">
        <v>1.0</v>
      </c>
      <c r="S20" s="32">
        <v>0.0</v>
      </c>
      <c r="T20" s="32">
        <v>0.0</v>
      </c>
      <c r="U20" s="32">
        <v>0.0</v>
      </c>
      <c r="V20" s="32">
        <v>0.0</v>
      </c>
      <c r="W20" s="32">
        <v>0.0</v>
      </c>
      <c r="X20" s="4">
        <v>1.0</v>
      </c>
      <c r="Y20" s="4">
        <v>2.0</v>
      </c>
      <c r="Z20" s="4">
        <v>0.0</v>
      </c>
      <c r="AA20" s="4">
        <v>0.0</v>
      </c>
      <c r="AB20" s="4">
        <v>0.0</v>
      </c>
      <c r="AC20" s="4">
        <v>0.0</v>
      </c>
      <c r="AD20" s="4">
        <v>1.0</v>
      </c>
      <c r="AE20" s="4">
        <v>0.0</v>
      </c>
      <c r="AF20" s="4">
        <v>1.0</v>
      </c>
      <c r="AG20" s="4">
        <v>0.0</v>
      </c>
      <c r="AH20" s="4">
        <v>0.0</v>
      </c>
      <c r="AI20" s="4">
        <v>0.0</v>
      </c>
      <c r="AJ20" s="4">
        <v>1.0</v>
      </c>
      <c r="AK20" s="4">
        <v>0.0</v>
      </c>
      <c r="AL20" s="4">
        <v>1.0</v>
      </c>
      <c r="AM20" s="4">
        <v>0.0</v>
      </c>
      <c r="AN20" s="4">
        <v>1.0</v>
      </c>
      <c r="AO20" s="4">
        <v>0.0</v>
      </c>
      <c r="AP20" s="4">
        <v>0.0</v>
      </c>
      <c r="AQ20" s="4">
        <v>3.0</v>
      </c>
      <c r="AR20" s="4">
        <v>0.0</v>
      </c>
      <c r="AS20" s="4">
        <v>1.0</v>
      </c>
      <c r="AT20" s="4">
        <v>1.0</v>
      </c>
      <c r="AU20" s="4">
        <v>0.0</v>
      </c>
      <c r="AV20" s="4">
        <v>1.0</v>
      </c>
      <c r="AW20" s="4">
        <v>0.0</v>
      </c>
      <c r="AX20" s="4">
        <v>1.0</v>
      </c>
      <c r="AY20" s="4">
        <v>0.0</v>
      </c>
      <c r="AZ20" s="4">
        <v>0.0</v>
      </c>
      <c r="BA20" s="4">
        <v>1.0</v>
      </c>
      <c r="BB20" s="4">
        <v>1.0</v>
      </c>
      <c r="BC20" s="4">
        <v>0.0</v>
      </c>
    </row>
    <row r="21">
      <c r="A21" s="4" t="s">
        <v>47</v>
      </c>
      <c r="B21" s="31">
        <f t="shared" si="2"/>
        <v>22</v>
      </c>
      <c r="C21" s="32">
        <v>0.0</v>
      </c>
      <c r="D21" s="32">
        <v>0.0</v>
      </c>
      <c r="E21" s="32">
        <v>0.0</v>
      </c>
      <c r="F21" s="32">
        <v>0.0</v>
      </c>
      <c r="G21" s="32">
        <v>0.0</v>
      </c>
      <c r="H21" s="32">
        <v>1.0</v>
      </c>
      <c r="I21" s="32">
        <v>2.0</v>
      </c>
      <c r="J21" s="32">
        <v>3.0</v>
      </c>
      <c r="K21" s="32">
        <v>1.0</v>
      </c>
      <c r="L21" s="32">
        <v>2.0</v>
      </c>
      <c r="M21" s="32">
        <v>1.0</v>
      </c>
      <c r="N21" s="32">
        <v>0.0</v>
      </c>
      <c r="O21" s="32">
        <v>0.0</v>
      </c>
      <c r="P21" s="32">
        <v>0.0</v>
      </c>
      <c r="Q21" s="32">
        <v>0.0</v>
      </c>
      <c r="R21" s="32">
        <v>0.0</v>
      </c>
      <c r="S21" s="32">
        <v>0.0</v>
      </c>
      <c r="T21" s="32">
        <v>0.0</v>
      </c>
      <c r="U21" s="32">
        <v>0.0</v>
      </c>
      <c r="V21" s="32">
        <v>0.0</v>
      </c>
      <c r="W21" s="32">
        <v>0.0</v>
      </c>
      <c r="X21" s="32">
        <v>0.0</v>
      </c>
      <c r="Y21" s="4">
        <v>0.0</v>
      </c>
      <c r="Z21" s="4">
        <v>0.0</v>
      </c>
      <c r="AA21" s="4">
        <v>1.0</v>
      </c>
      <c r="AB21" s="4">
        <v>0.0</v>
      </c>
      <c r="AC21" s="4">
        <v>0.0</v>
      </c>
      <c r="AD21" s="4">
        <v>0.0</v>
      </c>
      <c r="AE21" s="4">
        <v>0.0</v>
      </c>
      <c r="AF21" s="4">
        <v>0.0</v>
      </c>
      <c r="AG21" s="4">
        <v>0.0</v>
      </c>
      <c r="AH21" s="4">
        <v>0.0</v>
      </c>
      <c r="AI21" s="4">
        <v>0.0</v>
      </c>
      <c r="AJ21" s="4">
        <v>0.0</v>
      </c>
      <c r="AK21" s="4">
        <v>0.0</v>
      </c>
      <c r="AL21" s="4">
        <v>0.0</v>
      </c>
      <c r="AM21" s="4">
        <v>0.0</v>
      </c>
      <c r="AN21" s="4">
        <v>0.0</v>
      </c>
      <c r="AO21" s="4">
        <v>2.0</v>
      </c>
      <c r="AP21" s="4">
        <v>1.0</v>
      </c>
      <c r="AQ21" s="4">
        <v>2.0</v>
      </c>
      <c r="AR21" s="4">
        <v>2.0</v>
      </c>
      <c r="AS21" s="4">
        <v>1.0</v>
      </c>
      <c r="AT21" s="4">
        <v>2.0</v>
      </c>
      <c r="AU21" s="4">
        <v>1.0</v>
      </c>
      <c r="AV21" s="4">
        <v>0.0</v>
      </c>
      <c r="AW21" s="4">
        <v>0.0</v>
      </c>
      <c r="AX21" s="4">
        <v>0.0</v>
      </c>
      <c r="AY21" s="4">
        <v>0.0</v>
      </c>
      <c r="AZ21" s="4">
        <v>0.0</v>
      </c>
      <c r="BA21" s="4">
        <v>0.0</v>
      </c>
      <c r="BB21" s="4">
        <v>0.0</v>
      </c>
      <c r="BC21" s="4">
        <v>0.0</v>
      </c>
    </row>
    <row r="22">
      <c r="A22" s="4" t="s">
        <v>33</v>
      </c>
      <c r="B22" s="31">
        <f t="shared" si="2"/>
        <v>18</v>
      </c>
      <c r="C22" s="32">
        <v>0.0</v>
      </c>
      <c r="D22" s="32">
        <v>0.0</v>
      </c>
      <c r="E22" s="32">
        <v>0.0</v>
      </c>
      <c r="F22" s="32">
        <v>0.0</v>
      </c>
      <c r="G22" s="32">
        <v>0.0</v>
      </c>
      <c r="H22" s="32">
        <v>0.0</v>
      </c>
      <c r="I22" s="32">
        <v>0.0</v>
      </c>
      <c r="J22" s="32">
        <v>0.0</v>
      </c>
      <c r="K22" s="32">
        <v>0.0</v>
      </c>
      <c r="L22" s="32">
        <v>1.0</v>
      </c>
      <c r="M22" s="32">
        <v>0.0</v>
      </c>
      <c r="N22" s="32">
        <v>0.0</v>
      </c>
      <c r="O22" s="32">
        <v>1.0</v>
      </c>
      <c r="P22" s="32">
        <v>0.0</v>
      </c>
      <c r="Q22" s="32">
        <v>6.0</v>
      </c>
      <c r="R22" s="32">
        <v>0.0</v>
      </c>
      <c r="S22" s="32">
        <v>0.0</v>
      </c>
      <c r="T22" s="32">
        <v>0.0</v>
      </c>
      <c r="U22" s="32">
        <v>0.0</v>
      </c>
      <c r="V22" s="32">
        <v>0.0</v>
      </c>
      <c r="W22" s="32">
        <v>1.0</v>
      </c>
      <c r="X22" s="32">
        <v>0.0</v>
      </c>
      <c r="Y22" s="4">
        <v>0.0</v>
      </c>
      <c r="Z22" s="4">
        <v>0.0</v>
      </c>
      <c r="AA22" s="4">
        <v>0.0</v>
      </c>
      <c r="AB22" s="4">
        <v>0.0</v>
      </c>
      <c r="AC22" s="4">
        <v>1.0</v>
      </c>
      <c r="AD22" s="4">
        <v>0.0</v>
      </c>
      <c r="AE22" s="4">
        <v>0.0</v>
      </c>
      <c r="AF22" s="4">
        <v>0.0</v>
      </c>
      <c r="AG22" s="4">
        <v>0.0</v>
      </c>
      <c r="AH22" s="4">
        <v>1.0</v>
      </c>
      <c r="AI22" s="4">
        <v>0.0</v>
      </c>
      <c r="AJ22" s="4">
        <v>0.0</v>
      </c>
      <c r="AK22" s="4">
        <v>0.0</v>
      </c>
      <c r="AL22" s="4">
        <v>1.0</v>
      </c>
      <c r="AM22" s="4">
        <v>0.0</v>
      </c>
      <c r="AN22" s="4">
        <v>0.0</v>
      </c>
      <c r="AO22" s="4">
        <v>0.0</v>
      </c>
      <c r="AP22" s="4">
        <v>0.0</v>
      </c>
      <c r="AQ22" s="4">
        <v>0.0</v>
      </c>
      <c r="AR22" s="4">
        <v>0.0</v>
      </c>
      <c r="AS22" s="4">
        <v>1.0</v>
      </c>
      <c r="AT22" s="4">
        <v>1.0</v>
      </c>
      <c r="AU22" s="4">
        <v>0.0</v>
      </c>
      <c r="AV22" s="4">
        <v>0.0</v>
      </c>
      <c r="AW22" s="4">
        <v>0.0</v>
      </c>
      <c r="AX22" s="4">
        <v>0.0</v>
      </c>
      <c r="AY22" s="4">
        <v>1.0</v>
      </c>
      <c r="AZ22" s="4">
        <v>1.0</v>
      </c>
      <c r="BA22" s="4">
        <v>0.0</v>
      </c>
      <c r="BB22" s="4">
        <v>2.0</v>
      </c>
      <c r="BC22" s="4">
        <v>0.0</v>
      </c>
    </row>
    <row r="23">
      <c r="A23" s="4" t="s">
        <v>39</v>
      </c>
      <c r="B23" s="31">
        <f t="shared" si="2"/>
        <v>17</v>
      </c>
      <c r="C23" s="32">
        <v>0.0</v>
      </c>
      <c r="D23" s="32">
        <v>0.0</v>
      </c>
      <c r="E23" s="32">
        <v>0.0</v>
      </c>
      <c r="F23" s="32">
        <v>0.0</v>
      </c>
      <c r="G23" s="32">
        <v>0.0</v>
      </c>
      <c r="H23" s="32">
        <v>0.0</v>
      </c>
      <c r="I23" s="32">
        <v>0.0</v>
      </c>
      <c r="J23" s="32">
        <v>0.0</v>
      </c>
      <c r="K23" s="32">
        <v>0.0</v>
      </c>
      <c r="L23" s="32">
        <v>1.0</v>
      </c>
      <c r="M23" s="32">
        <v>2.0</v>
      </c>
      <c r="N23" s="32">
        <v>0.0</v>
      </c>
      <c r="O23" s="32">
        <v>0.0</v>
      </c>
      <c r="P23" s="32">
        <v>0.0</v>
      </c>
      <c r="Q23" s="32">
        <v>0.0</v>
      </c>
      <c r="R23" s="32">
        <v>0.0</v>
      </c>
      <c r="S23" s="32">
        <v>0.0</v>
      </c>
      <c r="T23" s="32">
        <v>0.0</v>
      </c>
      <c r="U23" s="32">
        <v>0.0</v>
      </c>
      <c r="V23" s="4">
        <v>1.0</v>
      </c>
      <c r="W23" s="4">
        <v>1.0</v>
      </c>
      <c r="X23" s="4">
        <v>1.0</v>
      </c>
      <c r="Y23" s="4">
        <v>7.0</v>
      </c>
      <c r="Z23" s="4">
        <v>0.0</v>
      </c>
      <c r="AA23" s="4">
        <v>0.0</v>
      </c>
      <c r="AB23" s="4">
        <v>0.0</v>
      </c>
      <c r="AC23" s="4">
        <v>0.0</v>
      </c>
      <c r="AD23" s="4">
        <v>0.0</v>
      </c>
      <c r="AE23" s="4">
        <v>1.0</v>
      </c>
      <c r="AF23" s="4">
        <v>0.0</v>
      </c>
      <c r="AG23" s="4">
        <v>0.0</v>
      </c>
      <c r="AH23" s="4">
        <v>0.0</v>
      </c>
      <c r="AI23" s="4">
        <v>0.0</v>
      </c>
      <c r="AJ23" s="4">
        <v>0.0</v>
      </c>
      <c r="AK23" s="4">
        <v>0.0</v>
      </c>
      <c r="AL23" s="4">
        <v>3.0</v>
      </c>
      <c r="AM23" s="4">
        <v>0.0</v>
      </c>
      <c r="AN23" s="4">
        <v>0.0</v>
      </c>
      <c r="AO23" s="4">
        <v>0.0</v>
      </c>
      <c r="AP23" s="4">
        <v>0.0</v>
      </c>
      <c r="AQ23" s="4">
        <v>0.0</v>
      </c>
      <c r="AR23" s="4">
        <v>0.0</v>
      </c>
      <c r="AS23" s="4">
        <v>0.0</v>
      </c>
      <c r="AT23" s="4">
        <v>0.0</v>
      </c>
      <c r="AU23" s="4">
        <v>0.0</v>
      </c>
      <c r="AV23" s="4">
        <v>0.0</v>
      </c>
      <c r="AW23" s="4">
        <v>0.0</v>
      </c>
      <c r="AX23" s="4">
        <v>0.0</v>
      </c>
      <c r="AY23" s="4">
        <v>0.0</v>
      </c>
      <c r="AZ23" s="4">
        <v>0.0</v>
      </c>
      <c r="BA23" s="4">
        <v>0.0</v>
      </c>
      <c r="BB23" s="4">
        <v>0.0</v>
      </c>
      <c r="BC23" s="4">
        <v>0.0</v>
      </c>
    </row>
    <row r="24">
      <c r="A24" s="4" t="s">
        <v>42</v>
      </c>
      <c r="B24" s="31">
        <f t="shared" si="2"/>
        <v>10</v>
      </c>
      <c r="C24" s="32">
        <v>0.0</v>
      </c>
      <c r="D24" s="32">
        <v>0.0</v>
      </c>
      <c r="E24" s="32">
        <v>0.0</v>
      </c>
      <c r="F24" s="32">
        <v>0.0</v>
      </c>
      <c r="G24" s="32">
        <v>2.0</v>
      </c>
      <c r="H24" s="32">
        <v>1.0</v>
      </c>
      <c r="I24" s="32">
        <v>0.0</v>
      </c>
      <c r="J24" s="32">
        <v>0.0</v>
      </c>
      <c r="K24" s="32">
        <v>0.0</v>
      </c>
      <c r="L24" s="32">
        <v>0.0</v>
      </c>
      <c r="M24" s="32">
        <v>0.0</v>
      </c>
      <c r="N24" s="32">
        <v>0.0</v>
      </c>
      <c r="O24" s="32">
        <v>0.0</v>
      </c>
      <c r="P24" s="32">
        <v>0.0</v>
      </c>
      <c r="Q24" s="32">
        <v>0.0</v>
      </c>
      <c r="R24" s="32">
        <v>0.0</v>
      </c>
      <c r="S24" s="32">
        <v>0.0</v>
      </c>
      <c r="T24" s="32">
        <v>0.0</v>
      </c>
      <c r="U24" s="32">
        <v>0.0</v>
      </c>
      <c r="V24" s="32">
        <v>1.0</v>
      </c>
      <c r="W24" s="32">
        <v>1.0</v>
      </c>
      <c r="X24" s="32">
        <v>0.0</v>
      </c>
      <c r="Y24" s="4">
        <v>1.0</v>
      </c>
      <c r="Z24" s="4">
        <v>0.0</v>
      </c>
      <c r="AA24" s="4">
        <v>0.0</v>
      </c>
      <c r="AB24" s="4">
        <v>0.0</v>
      </c>
      <c r="AC24" s="4">
        <v>0.0</v>
      </c>
      <c r="AD24" s="4">
        <v>0.0</v>
      </c>
      <c r="AE24" s="4">
        <v>0.0</v>
      </c>
      <c r="AF24" s="4">
        <v>0.0</v>
      </c>
      <c r="AG24" s="4">
        <v>0.0</v>
      </c>
      <c r="AH24" s="4">
        <v>0.0</v>
      </c>
      <c r="AI24" s="4">
        <v>0.0</v>
      </c>
      <c r="AJ24" s="4">
        <v>0.0</v>
      </c>
      <c r="AK24" s="4">
        <v>0.0</v>
      </c>
      <c r="AL24" s="4">
        <v>1.0</v>
      </c>
      <c r="AM24" s="4">
        <v>0.0</v>
      </c>
      <c r="AN24" s="4">
        <v>0.0</v>
      </c>
      <c r="AO24" s="4">
        <v>1.0</v>
      </c>
      <c r="AP24" s="4">
        <v>0.0</v>
      </c>
      <c r="AQ24" s="4">
        <v>0.0</v>
      </c>
      <c r="AR24" s="4">
        <v>0.0</v>
      </c>
      <c r="AS24" s="4">
        <v>0.0</v>
      </c>
      <c r="AT24" s="4">
        <v>0.0</v>
      </c>
      <c r="AU24" s="4">
        <v>0.0</v>
      </c>
      <c r="AV24" s="4">
        <v>1.0</v>
      </c>
      <c r="AW24" s="4">
        <v>1.0</v>
      </c>
      <c r="AX24" s="4">
        <v>0.0</v>
      </c>
      <c r="AY24" s="4">
        <v>0.0</v>
      </c>
      <c r="AZ24" s="4">
        <v>0.0</v>
      </c>
      <c r="BA24" s="4">
        <v>0.0</v>
      </c>
      <c r="BB24" s="4">
        <v>0.0</v>
      </c>
      <c r="BC24" s="4">
        <v>0.0</v>
      </c>
    </row>
    <row r="25">
      <c r="A25" s="4" t="s">
        <v>43</v>
      </c>
      <c r="B25" s="31">
        <f t="shared" si="2"/>
        <v>9</v>
      </c>
      <c r="C25" s="32">
        <v>0.0</v>
      </c>
      <c r="D25" s="32">
        <v>0.0</v>
      </c>
      <c r="E25" s="32">
        <v>0.0</v>
      </c>
      <c r="F25" s="32">
        <v>0.0</v>
      </c>
      <c r="G25" s="32">
        <v>1.0</v>
      </c>
      <c r="H25" s="32">
        <v>0.0</v>
      </c>
      <c r="I25" s="32">
        <v>1.0</v>
      </c>
      <c r="J25" s="32">
        <v>0.0</v>
      </c>
      <c r="K25" s="32">
        <v>0.0</v>
      </c>
      <c r="L25" s="32">
        <v>0.0</v>
      </c>
      <c r="M25" s="32">
        <v>0.0</v>
      </c>
      <c r="N25" s="32">
        <v>0.0</v>
      </c>
      <c r="O25" s="32">
        <v>0.0</v>
      </c>
      <c r="P25" s="32">
        <v>0.0</v>
      </c>
      <c r="Q25" s="32">
        <v>0.0</v>
      </c>
      <c r="R25" s="32">
        <v>0.0</v>
      </c>
      <c r="S25" s="32">
        <v>0.0</v>
      </c>
      <c r="T25" s="32">
        <v>0.0</v>
      </c>
      <c r="U25" s="32">
        <v>0.0</v>
      </c>
      <c r="V25" s="32">
        <v>0.0</v>
      </c>
      <c r="W25" s="32">
        <v>0.0</v>
      </c>
      <c r="X25" s="32">
        <v>0.0</v>
      </c>
      <c r="Y25" s="4">
        <v>0.0</v>
      </c>
      <c r="Z25" s="4">
        <v>0.0</v>
      </c>
      <c r="AA25" s="4">
        <v>0.0</v>
      </c>
      <c r="AB25" s="4">
        <v>1.0</v>
      </c>
      <c r="AC25" s="4">
        <v>0.0</v>
      </c>
      <c r="AD25" s="4">
        <v>0.0</v>
      </c>
      <c r="AE25" s="4">
        <v>0.0</v>
      </c>
      <c r="AF25" s="4">
        <v>3.0</v>
      </c>
      <c r="AG25" s="4">
        <v>1.0</v>
      </c>
      <c r="AH25" s="4">
        <v>0.0</v>
      </c>
      <c r="AI25" s="4">
        <v>1.0</v>
      </c>
      <c r="AJ25" s="4">
        <v>1.0</v>
      </c>
      <c r="AK25" s="4">
        <v>0.0</v>
      </c>
      <c r="AL25" s="4">
        <v>0.0</v>
      </c>
      <c r="AM25" s="4">
        <v>0.0</v>
      </c>
      <c r="AN25" s="4">
        <v>0.0</v>
      </c>
      <c r="AO25" s="4">
        <v>0.0</v>
      </c>
      <c r="AP25" s="4">
        <v>0.0</v>
      </c>
      <c r="AQ25" s="4">
        <v>0.0</v>
      </c>
      <c r="AR25" s="4">
        <v>0.0</v>
      </c>
      <c r="AS25" s="4">
        <v>0.0</v>
      </c>
      <c r="AT25" s="4">
        <v>0.0</v>
      </c>
      <c r="AU25" s="4">
        <v>0.0</v>
      </c>
      <c r="AV25" s="4">
        <v>0.0</v>
      </c>
      <c r="AW25" s="4">
        <v>0.0</v>
      </c>
      <c r="AX25" s="4">
        <v>0.0</v>
      </c>
      <c r="AY25" s="4">
        <v>0.0</v>
      </c>
      <c r="AZ25" s="4">
        <v>0.0</v>
      </c>
      <c r="BA25" s="4">
        <v>0.0</v>
      </c>
      <c r="BB25" s="4">
        <v>0.0</v>
      </c>
      <c r="BC25" s="4">
        <v>0.0</v>
      </c>
    </row>
    <row r="26">
      <c r="A26" s="4" t="s">
        <v>50</v>
      </c>
      <c r="B26" s="31">
        <f t="shared" si="2"/>
        <v>7</v>
      </c>
      <c r="C26" s="32">
        <v>0.0</v>
      </c>
      <c r="D26" s="32">
        <v>0.0</v>
      </c>
      <c r="E26" s="32">
        <v>0.0</v>
      </c>
      <c r="F26" s="32">
        <v>0.0</v>
      </c>
      <c r="G26" s="32">
        <v>0.0</v>
      </c>
      <c r="H26" s="32">
        <v>0.0</v>
      </c>
      <c r="I26" s="32">
        <v>0.0</v>
      </c>
      <c r="J26" s="32">
        <v>0.0</v>
      </c>
      <c r="K26" s="32">
        <v>0.0</v>
      </c>
      <c r="L26" s="32">
        <v>1.0</v>
      </c>
      <c r="M26" s="32">
        <v>0.0</v>
      </c>
      <c r="N26" s="32">
        <v>1.0</v>
      </c>
      <c r="O26" s="32">
        <v>1.0</v>
      </c>
      <c r="P26" s="32">
        <v>0.0</v>
      </c>
      <c r="Q26" s="32">
        <v>0.0</v>
      </c>
      <c r="R26" s="32">
        <v>0.0</v>
      </c>
      <c r="S26" s="32">
        <v>0.0</v>
      </c>
      <c r="T26" s="32">
        <v>0.0</v>
      </c>
      <c r="U26" s="32">
        <v>0.0</v>
      </c>
      <c r="V26" s="32">
        <v>0.0</v>
      </c>
      <c r="W26" s="32">
        <v>0.0</v>
      </c>
      <c r="X26" s="32">
        <v>0.0</v>
      </c>
      <c r="Y26" s="4">
        <v>0.0</v>
      </c>
      <c r="Z26" s="4">
        <v>0.0</v>
      </c>
      <c r="AA26" s="4">
        <v>0.0</v>
      </c>
      <c r="AB26" s="4">
        <v>0.0</v>
      </c>
      <c r="AC26" s="4">
        <v>0.0</v>
      </c>
      <c r="AD26" s="4">
        <v>0.0</v>
      </c>
      <c r="AE26" s="4">
        <v>0.0</v>
      </c>
      <c r="AF26" s="4">
        <v>0.0</v>
      </c>
      <c r="AG26" s="4">
        <v>0.0</v>
      </c>
      <c r="AH26" s="4">
        <v>0.0</v>
      </c>
      <c r="AI26" s="4">
        <v>2.0</v>
      </c>
      <c r="AJ26" s="4">
        <v>0.0</v>
      </c>
      <c r="AK26" s="4">
        <v>1.0</v>
      </c>
      <c r="AL26" s="4">
        <v>0.0</v>
      </c>
      <c r="AM26" s="4">
        <v>0.0</v>
      </c>
      <c r="AN26" s="4">
        <v>0.0</v>
      </c>
      <c r="AO26" s="4">
        <v>0.0</v>
      </c>
      <c r="AP26" s="4">
        <v>0.0</v>
      </c>
      <c r="AQ26" s="4">
        <v>0.0</v>
      </c>
      <c r="AR26" s="4">
        <v>0.0</v>
      </c>
      <c r="AS26" s="4">
        <v>0.0</v>
      </c>
      <c r="AT26" s="4">
        <v>0.0</v>
      </c>
      <c r="AU26" s="4">
        <v>0.0</v>
      </c>
      <c r="AV26" s="4">
        <v>0.0</v>
      </c>
      <c r="AW26" s="4">
        <v>1.0</v>
      </c>
      <c r="AX26" s="4">
        <v>0.0</v>
      </c>
      <c r="AY26" s="4">
        <v>0.0</v>
      </c>
      <c r="AZ26" s="4">
        <v>0.0</v>
      </c>
      <c r="BA26" s="4">
        <v>0.0</v>
      </c>
      <c r="BB26" s="4">
        <v>0.0</v>
      </c>
      <c r="BC26" s="4">
        <v>0.0</v>
      </c>
    </row>
    <row r="27">
      <c r="A27" s="4" t="s">
        <v>44</v>
      </c>
      <c r="B27" s="31">
        <f t="shared" si="2"/>
        <v>6</v>
      </c>
      <c r="C27" s="32">
        <v>0.0</v>
      </c>
      <c r="D27" s="32">
        <v>0.0</v>
      </c>
      <c r="E27" s="32">
        <v>0.0</v>
      </c>
      <c r="F27" s="32">
        <v>0.0</v>
      </c>
      <c r="G27" s="32">
        <v>0.0</v>
      </c>
      <c r="H27" s="32">
        <v>0.0</v>
      </c>
      <c r="I27" s="32">
        <v>0.0</v>
      </c>
      <c r="J27" s="32">
        <v>0.0</v>
      </c>
      <c r="K27" s="32">
        <v>0.0</v>
      </c>
      <c r="L27" s="32">
        <v>0.0</v>
      </c>
      <c r="M27" s="32">
        <v>0.0</v>
      </c>
      <c r="N27" s="32">
        <v>0.0</v>
      </c>
      <c r="O27" s="32">
        <v>0.0</v>
      </c>
      <c r="P27" s="32">
        <v>0.0</v>
      </c>
      <c r="Q27" s="32">
        <v>0.0</v>
      </c>
      <c r="R27" s="32">
        <v>0.0</v>
      </c>
      <c r="S27" s="32">
        <v>0.0</v>
      </c>
      <c r="T27" s="32">
        <v>0.0</v>
      </c>
      <c r="U27" s="32">
        <v>0.0</v>
      </c>
      <c r="V27" s="32">
        <v>0.0</v>
      </c>
      <c r="W27" s="32">
        <v>0.0</v>
      </c>
      <c r="X27" s="4">
        <v>3.0</v>
      </c>
      <c r="Y27" s="4">
        <v>1.0</v>
      </c>
      <c r="Z27" s="4">
        <v>0.0</v>
      </c>
      <c r="AA27" s="4">
        <v>0.0</v>
      </c>
      <c r="AB27" s="4">
        <v>0.0</v>
      </c>
      <c r="AC27" s="4">
        <v>0.0</v>
      </c>
      <c r="AD27" s="4">
        <v>0.0</v>
      </c>
      <c r="AE27" s="4">
        <v>0.0</v>
      </c>
      <c r="AF27" s="4">
        <v>0.0</v>
      </c>
      <c r="AG27" s="4">
        <v>0.0</v>
      </c>
      <c r="AH27" s="4">
        <v>0.0</v>
      </c>
      <c r="AI27" s="4">
        <v>0.0</v>
      </c>
      <c r="AJ27" s="4">
        <v>0.0</v>
      </c>
      <c r="AK27" s="4">
        <v>0.0</v>
      </c>
      <c r="AL27" s="4">
        <v>0.0</v>
      </c>
      <c r="AM27" s="4">
        <v>0.0</v>
      </c>
      <c r="AN27" s="4">
        <v>0.0</v>
      </c>
      <c r="AO27" s="4">
        <v>0.0</v>
      </c>
      <c r="AP27" s="4">
        <v>0.0</v>
      </c>
      <c r="AQ27" s="4">
        <v>0.0</v>
      </c>
      <c r="AR27" s="4">
        <v>0.0</v>
      </c>
      <c r="AS27" s="4">
        <v>0.0</v>
      </c>
      <c r="AT27" s="4">
        <v>0.0</v>
      </c>
      <c r="AU27" s="4">
        <v>0.0</v>
      </c>
      <c r="AV27" s="4">
        <v>0.0</v>
      </c>
      <c r="AW27" s="4">
        <v>0.0</v>
      </c>
      <c r="AX27" s="4">
        <v>1.0</v>
      </c>
      <c r="AY27" s="4">
        <v>1.0</v>
      </c>
      <c r="AZ27" s="4">
        <v>0.0</v>
      </c>
      <c r="BA27" s="4">
        <v>0.0</v>
      </c>
      <c r="BB27" s="4">
        <v>0.0</v>
      </c>
      <c r="BC27" s="4">
        <v>0.0</v>
      </c>
    </row>
    <row r="28">
      <c r="A28" s="4" t="s">
        <v>29</v>
      </c>
      <c r="B28" s="31">
        <f t="shared" si="2"/>
        <v>8</v>
      </c>
      <c r="C28" s="32">
        <v>0.0</v>
      </c>
      <c r="D28" s="32">
        <v>2.0</v>
      </c>
      <c r="E28" s="32">
        <v>0.0</v>
      </c>
      <c r="F28" s="32">
        <v>0.0</v>
      </c>
      <c r="G28" s="32">
        <v>0.0</v>
      </c>
      <c r="H28" s="32">
        <v>1.0</v>
      </c>
      <c r="I28" s="32">
        <v>0.0</v>
      </c>
      <c r="J28" s="32">
        <v>0.0</v>
      </c>
      <c r="K28" s="32">
        <v>1.0</v>
      </c>
      <c r="L28" s="32">
        <v>0.0</v>
      </c>
      <c r="M28" s="32">
        <v>1.0</v>
      </c>
      <c r="N28" s="32">
        <v>0.0</v>
      </c>
      <c r="O28" s="32">
        <v>1.0</v>
      </c>
      <c r="P28" s="32">
        <v>0.0</v>
      </c>
      <c r="Q28" s="32">
        <v>0.0</v>
      </c>
      <c r="R28" s="32">
        <v>0.0</v>
      </c>
      <c r="S28" s="32">
        <v>0.0</v>
      </c>
      <c r="T28" s="32">
        <v>0.0</v>
      </c>
      <c r="U28" s="32">
        <v>0.0</v>
      </c>
      <c r="V28" s="32">
        <v>0.0</v>
      </c>
      <c r="W28" s="32">
        <v>0.0</v>
      </c>
      <c r="X28" s="32">
        <v>0.0</v>
      </c>
      <c r="Y28" s="4">
        <v>0.0</v>
      </c>
      <c r="Z28" s="4">
        <v>0.0</v>
      </c>
      <c r="AA28" s="4">
        <v>0.0</v>
      </c>
      <c r="AB28" s="4">
        <v>0.0</v>
      </c>
      <c r="AC28" s="4">
        <v>0.0</v>
      </c>
      <c r="AD28" s="4">
        <v>0.0</v>
      </c>
      <c r="AE28" s="4">
        <v>1.0</v>
      </c>
      <c r="AF28" s="4">
        <v>0.0</v>
      </c>
      <c r="AG28" s="4">
        <v>1.0</v>
      </c>
      <c r="AH28" s="4">
        <v>0.0</v>
      </c>
      <c r="AI28" s="4">
        <v>0.0</v>
      </c>
      <c r="AJ28" s="4">
        <v>0.0</v>
      </c>
      <c r="AK28" s="4">
        <v>0.0</v>
      </c>
      <c r="AL28" s="4">
        <v>0.0</v>
      </c>
      <c r="AM28" s="4">
        <v>0.0</v>
      </c>
      <c r="AN28" s="4">
        <v>0.0</v>
      </c>
      <c r="AO28" s="4">
        <v>0.0</v>
      </c>
      <c r="AP28" s="4">
        <v>0.0</v>
      </c>
      <c r="AQ28" s="4">
        <v>0.0</v>
      </c>
      <c r="AR28" s="4">
        <v>0.0</v>
      </c>
      <c r="AS28" s="4">
        <v>0.0</v>
      </c>
      <c r="AT28" s="4">
        <v>0.0</v>
      </c>
      <c r="AU28" s="4">
        <v>0.0</v>
      </c>
      <c r="AV28" s="4">
        <v>0.0</v>
      </c>
      <c r="AW28" s="4">
        <v>0.0</v>
      </c>
      <c r="AX28" s="4">
        <v>0.0</v>
      </c>
      <c r="AY28" s="4">
        <v>0.0</v>
      </c>
      <c r="AZ28" s="4">
        <v>0.0</v>
      </c>
      <c r="BA28" s="4">
        <v>0.0</v>
      </c>
      <c r="BB28" s="4">
        <v>0.0</v>
      </c>
      <c r="BC28" s="4">
        <v>0.0</v>
      </c>
    </row>
    <row r="29">
      <c r="A29" s="4" t="s">
        <v>38</v>
      </c>
      <c r="B29" s="31">
        <f t="shared" si="2"/>
        <v>5</v>
      </c>
      <c r="C29" s="32">
        <v>0.0</v>
      </c>
      <c r="D29" s="32">
        <v>0.0</v>
      </c>
      <c r="E29" s="32">
        <v>0.0</v>
      </c>
      <c r="F29" s="32">
        <v>0.0</v>
      </c>
      <c r="G29" s="32">
        <v>0.0</v>
      </c>
      <c r="H29" s="32">
        <v>0.0</v>
      </c>
      <c r="I29" s="32">
        <v>0.0</v>
      </c>
      <c r="J29" s="32">
        <v>0.0</v>
      </c>
      <c r="K29" s="32">
        <v>0.0</v>
      </c>
      <c r="L29" s="32">
        <v>1.0</v>
      </c>
      <c r="M29" s="32">
        <v>0.0</v>
      </c>
      <c r="N29" s="32">
        <v>0.0</v>
      </c>
      <c r="O29" s="32">
        <v>1.0</v>
      </c>
      <c r="P29" s="32">
        <v>0.0</v>
      </c>
      <c r="Q29" s="32">
        <v>0.0</v>
      </c>
      <c r="R29" s="32">
        <v>1.0</v>
      </c>
      <c r="S29" s="32">
        <v>0.0</v>
      </c>
      <c r="T29" s="32">
        <v>0.0</v>
      </c>
      <c r="U29" s="32">
        <v>0.0</v>
      </c>
      <c r="V29" s="32">
        <v>0.0</v>
      </c>
      <c r="W29" s="32">
        <v>0.0</v>
      </c>
      <c r="X29" s="32">
        <v>0.0</v>
      </c>
      <c r="Y29" s="4">
        <v>0.0</v>
      </c>
      <c r="Z29" s="4">
        <v>0.0</v>
      </c>
      <c r="AA29" s="4">
        <v>0.0</v>
      </c>
      <c r="AB29" s="4">
        <v>0.0</v>
      </c>
      <c r="AC29" s="4">
        <v>0.0</v>
      </c>
      <c r="AD29" s="4">
        <v>0.0</v>
      </c>
      <c r="AE29" s="4">
        <v>0.0</v>
      </c>
      <c r="AF29" s="4">
        <v>0.0</v>
      </c>
      <c r="AG29" s="4">
        <v>0.0</v>
      </c>
      <c r="AH29" s="4">
        <v>1.0</v>
      </c>
      <c r="AI29" s="4">
        <v>0.0</v>
      </c>
      <c r="AJ29" s="4">
        <v>0.0</v>
      </c>
      <c r="AK29" s="4">
        <v>0.0</v>
      </c>
      <c r="AL29" s="4">
        <v>0.0</v>
      </c>
      <c r="AM29" s="4">
        <v>0.0</v>
      </c>
      <c r="AN29" s="4">
        <v>0.0</v>
      </c>
      <c r="AO29" s="4">
        <v>0.0</v>
      </c>
      <c r="AP29" s="4">
        <v>0.0</v>
      </c>
      <c r="AQ29" s="4">
        <v>0.0</v>
      </c>
      <c r="AR29" s="4">
        <v>0.0</v>
      </c>
      <c r="AS29" s="4">
        <v>0.0</v>
      </c>
      <c r="AT29" s="4">
        <v>0.0</v>
      </c>
      <c r="AU29" s="4">
        <v>0.0</v>
      </c>
      <c r="AV29" s="4">
        <v>0.0</v>
      </c>
      <c r="AW29" s="4">
        <v>0.0</v>
      </c>
      <c r="AX29" s="4">
        <v>0.0</v>
      </c>
      <c r="AY29" s="4">
        <v>0.0</v>
      </c>
      <c r="AZ29" s="4">
        <v>0.0</v>
      </c>
      <c r="BA29" s="4">
        <v>1.0</v>
      </c>
      <c r="BB29" s="4">
        <v>0.0</v>
      </c>
      <c r="BC29" s="4">
        <v>0.0</v>
      </c>
    </row>
    <row r="30">
      <c r="A30" s="4" t="s">
        <v>48</v>
      </c>
      <c r="B30" s="31">
        <f t="shared" si="2"/>
        <v>3</v>
      </c>
      <c r="C30" s="32">
        <v>0.0</v>
      </c>
      <c r="D30" s="32">
        <v>0.0</v>
      </c>
      <c r="E30" s="32">
        <v>0.0</v>
      </c>
      <c r="F30" s="32">
        <v>0.0</v>
      </c>
      <c r="G30" s="32">
        <v>0.0</v>
      </c>
      <c r="H30" s="32">
        <v>0.0</v>
      </c>
      <c r="I30" s="32">
        <v>0.0</v>
      </c>
      <c r="J30" s="32">
        <v>0.0</v>
      </c>
      <c r="K30" s="32">
        <v>0.0</v>
      </c>
      <c r="L30" s="32">
        <v>0.0</v>
      </c>
      <c r="M30" s="32">
        <v>0.0</v>
      </c>
      <c r="N30" s="32">
        <v>0.0</v>
      </c>
      <c r="O30" s="32">
        <v>0.0</v>
      </c>
      <c r="P30" s="32">
        <v>0.0</v>
      </c>
      <c r="Q30" s="32">
        <v>0.0</v>
      </c>
      <c r="R30" s="32">
        <v>1.0</v>
      </c>
      <c r="S30" s="32">
        <v>0.0</v>
      </c>
      <c r="T30" s="32">
        <v>0.0</v>
      </c>
      <c r="U30" s="32">
        <v>0.0</v>
      </c>
      <c r="V30" s="32">
        <v>0.0</v>
      </c>
      <c r="W30" s="32">
        <v>0.0</v>
      </c>
      <c r="X30" s="32">
        <v>0.0</v>
      </c>
      <c r="Y30" s="4">
        <v>0.0</v>
      </c>
      <c r="Z30" s="4">
        <v>0.0</v>
      </c>
      <c r="AA30" s="4">
        <v>0.0</v>
      </c>
      <c r="AB30" s="4">
        <v>0.0</v>
      </c>
      <c r="AC30" s="4">
        <v>0.0</v>
      </c>
      <c r="AD30" s="4">
        <v>0.0</v>
      </c>
      <c r="AE30" s="4">
        <v>1.0</v>
      </c>
      <c r="AF30" s="4">
        <v>0.0</v>
      </c>
      <c r="AG30" s="4">
        <v>0.0</v>
      </c>
      <c r="AH30" s="4">
        <v>0.0</v>
      </c>
      <c r="AI30" s="4">
        <v>0.0</v>
      </c>
      <c r="AJ30" s="4">
        <v>0.0</v>
      </c>
      <c r="AK30" s="4">
        <v>0.0</v>
      </c>
      <c r="AL30" s="4">
        <v>0.0</v>
      </c>
      <c r="AM30" s="4">
        <v>0.0</v>
      </c>
      <c r="AN30" s="4">
        <v>0.0</v>
      </c>
      <c r="AO30" s="4">
        <v>0.0</v>
      </c>
      <c r="AP30" s="4">
        <v>0.0</v>
      </c>
      <c r="AQ30" s="4">
        <v>0.0</v>
      </c>
      <c r="AR30" s="4">
        <v>0.0</v>
      </c>
      <c r="AS30" s="4">
        <v>0.0</v>
      </c>
      <c r="AT30" s="4">
        <v>0.0</v>
      </c>
      <c r="AU30" s="4">
        <v>0.0</v>
      </c>
      <c r="AV30" s="4">
        <v>0.0</v>
      </c>
      <c r="AW30" s="4">
        <v>0.0</v>
      </c>
      <c r="AX30" s="4">
        <v>0.0</v>
      </c>
      <c r="AY30" s="4">
        <v>0.0</v>
      </c>
      <c r="AZ30" s="4">
        <v>0.0</v>
      </c>
      <c r="BA30" s="4">
        <v>1.0</v>
      </c>
      <c r="BB30" s="4">
        <v>0.0</v>
      </c>
      <c r="BC30" s="4">
        <v>0.0</v>
      </c>
    </row>
    <row r="31">
      <c r="A31" s="4" t="s">
        <v>45</v>
      </c>
      <c r="B31" s="31">
        <f t="shared" si="2"/>
        <v>3</v>
      </c>
      <c r="C31" s="32">
        <v>0.0</v>
      </c>
      <c r="D31" s="32">
        <v>0.0</v>
      </c>
      <c r="E31" s="32">
        <v>0.0</v>
      </c>
      <c r="F31" s="32">
        <v>0.0</v>
      </c>
      <c r="G31" s="32">
        <v>0.0</v>
      </c>
      <c r="H31" s="32">
        <v>0.0</v>
      </c>
      <c r="I31" s="32">
        <v>0.0</v>
      </c>
      <c r="J31" s="32">
        <v>0.0</v>
      </c>
      <c r="K31" s="32">
        <v>0.0</v>
      </c>
      <c r="L31" s="32">
        <v>0.0</v>
      </c>
      <c r="M31" s="32">
        <v>0.0</v>
      </c>
      <c r="N31" s="32">
        <v>1.0</v>
      </c>
      <c r="O31" s="32">
        <v>0.0</v>
      </c>
      <c r="P31" s="32">
        <v>0.0</v>
      </c>
      <c r="Q31" s="32">
        <v>0.0</v>
      </c>
      <c r="R31" s="32">
        <v>1.0</v>
      </c>
      <c r="S31" s="32">
        <v>0.0</v>
      </c>
      <c r="T31" s="32">
        <v>0.0</v>
      </c>
      <c r="U31" s="32">
        <v>0.0</v>
      </c>
      <c r="V31" s="32">
        <v>0.0</v>
      </c>
      <c r="W31" s="32">
        <v>0.0</v>
      </c>
      <c r="X31" s="32">
        <v>0.0</v>
      </c>
      <c r="Y31" s="4">
        <v>0.0</v>
      </c>
      <c r="Z31" s="4">
        <v>0.0</v>
      </c>
      <c r="AA31" s="4">
        <v>0.0</v>
      </c>
      <c r="AB31" s="4">
        <v>0.0</v>
      </c>
      <c r="AC31" s="4">
        <v>0.0</v>
      </c>
      <c r="AD31" s="4">
        <v>0.0</v>
      </c>
      <c r="AE31" s="4">
        <v>0.0</v>
      </c>
      <c r="AF31" s="4">
        <v>0.0</v>
      </c>
      <c r="AG31" s="4">
        <v>0.0</v>
      </c>
      <c r="AH31" s="4">
        <v>0.0</v>
      </c>
      <c r="AI31" s="4">
        <v>0.0</v>
      </c>
      <c r="AJ31" s="4">
        <v>0.0</v>
      </c>
      <c r="AK31" s="4">
        <v>0.0</v>
      </c>
      <c r="AL31" s="4">
        <v>0.0</v>
      </c>
      <c r="AM31" s="4">
        <v>0.0</v>
      </c>
      <c r="AN31" s="4">
        <v>0.0</v>
      </c>
      <c r="AO31" s="4">
        <v>0.0</v>
      </c>
      <c r="AP31" s="4">
        <v>0.0</v>
      </c>
      <c r="AQ31" s="4">
        <v>0.0</v>
      </c>
      <c r="AR31" s="4">
        <v>0.0</v>
      </c>
      <c r="AS31" s="4">
        <v>0.0</v>
      </c>
      <c r="AT31" s="4">
        <v>0.0</v>
      </c>
      <c r="AU31" s="4">
        <v>0.0</v>
      </c>
      <c r="AV31" s="4">
        <v>0.0</v>
      </c>
      <c r="AW31" s="4">
        <v>0.0</v>
      </c>
      <c r="AX31" s="4">
        <v>0.0</v>
      </c>
      <c r="AY31" s="4">
        <v>0.0</v>
      </c>
      <c r="AZ31" s="4">
        <v>0.0</v>
      </c>
      <c r="BA31" s="4">
        <v>1.0</v>
      </c>
      <c r="BB31" s="4">
        <v>0.0</v>
      </c>
      <c r="BC31" s="4">
        <v>0.0</v>
      </c>
    </row>
    <row r="32">
      <c r="A32" s="4" t="s">
        <v>41</v>
      </c>
      <c r="B32" s="31">
        <f t="shared" si="2"/>
        <v>1</v>
      </c>
      <c r="C32" s="32">
        <v>0.0</v>
      </c>
      <c r="D32" s="32">
        <v>0.0</v>
      </c>
      <c r="E32" s="32">
        <v>0.0</v>
      </c>
      <c r="F32" s="32">
        <v>0.0</v>
      </c>
      <c r="G32" s="32">
        <v>0.0</v>
      </c>
      <c r="H32" s="32">
        <v>0.0</v>
      </c>
      <c r="I32" s="32">
        <v>0.0</v>
      </c>
      <c r="J32" s="32">
        <v>0.0</v>
      </c>
      <c r="K32" s="32">
        <v>0.0</v>
      </c>
      <c r="L32" s="32">
        <v>0.0</v>
      </c>
      <c r="M32" s="32">
        <v>0.0</v>
      </c>
      <c r="N32" s="32">
        <v>0.0</v>
      </c>
      <c r="O32" s="32">
        <v>0.0</v>
      </c>
      <c r="P32" s="32">
        <v>0.0</v>
      </c>
      <c r="Q32" s="32">
        <v>0.0</v>
      </c>
      <c r="R32" s="32">
        <v>0.0</v>
      </c>
      <c r="S32" s="32">
        <v>0.0</v>
      </c>
      <c r="T32" s="32">
        <v>0.0</v>
      </c>
      <c r="U32" s="32">
        <v>0.0</v>
      </c>
      <c r="V32" s="32">
        <v>0.0</v>
      </c>
      <c r="W32" s="32">
        <v>0.0</v>
      </c>
      <c r="X32" s="32">
        <v>0.0</v>
      </c>
      <c r="Y32" s="4">
        <v>0.0</v>
      </c>
      <c r="Z32" s="4">
        <v>0.0</v>
      </c>
      <c r="AA32" s="4">
        <v>0.0</v>
      </c>
      <c r="AB32" s="4">
        <v>0.0</v>
      </c>
      <c r="AC32" s="4">
        <v>0.0</v>
      </c>
      <c r="AD32" s="4">
        <v>0.0</v>
      </c>
      <c r="AE32" s="4">
        <v>0.0</v>
      </c>
      <c r="AF32" s="4">
        <v>0.0</v>
      </c>
      <c r="AG32" s="4">
        <v>0.0</v>
      </c>
      <c r="AH32" s="4">
        <v>0.0</v>
      </c>
      <c r="AI32" s="4">
        <v>0.0</v>
      </c>
      <c r="AJ32" s="4">
        <v>0.0</v>
      </c>
      <c r="AK32" s="4">
        <v>0.0</v>
      </c>
      <c r="AL32" s="4">
        <v>0.0</v>
      </c>
      <c r="AM32" s="4">
        <v>0.0</v>
      </c>
      <c r="AN32" s="4">
        <v>0.0</v>
      </c>
      <c r="AO32" s="4">
        <v>0.0</v>
      </c>
      <c r="AP32" s="4">
        <v>0.0</v>
      </c>
      <c r="AQ32" s="4">
        <v>0.0</v>
      </c>
      <c r="AR32" s="4">
        <v>0.0</v>
      </c>
      <c r="AS32" s="4">
        <v>0.0</v>
      </c>
      <c r="AT32" s="4">
        <v>0.0</v>
      </c>
      <c r="AU32" s="4">
        <v>0.0</v>
      </c>
      <c r="AV32" s="4">
        <v>0.0</v>
      </c>
      <c r="AW32" s="4">
        <v>0.0</v>
      </c>
      <c r="AX32" s="4">
        <v>0.0</v>
      </c>
      <c r="AY32" s="4">
        <v>0.0</v>
      </c>
      <c r="AZ32" s="4">
        <v>0.0</v>
      </c>
      <c r="BA32" s="4">
        <v>1.0</v>
      </c>
      <c r="BB32" s="4">
        <v>0.0</v>
      </c>
      <c r="BC32" s="4">
        <v>0.0</v>
      </c>
    </row>
    <row r="33">
      <c r="A33" s="4" t="s">
        <v>1339</v>
      </c>
      <c r="B33" s="31">
        <f t="shared" si="2"/>
        <v>1</v>
      </c>
      <c r="C33" s="32">
        <v>0.0</v>
      </c>
      <c r="D33" s="32">
        <v>0.0</v>
      </c>
      <c r="E33" s="32">
        <v>0.0</v>
      </c>
      <c r="F33" s="32">
        <v>0.0</v>
      </c>
      <c r="G33" s="32">
        <v>0.0</v>
      </c>
      <c r="H33" s="32">
        <v>0.0</v>
      </c>
      <c r="I33" s="32">
        <v>0.0</v>
      </c>
      <c r="J33" s="32">
        <v>0.0</v>
      </c>
      <c r="K33" s="32">
        <v>0.0</v>
      </c>
      <c r="L33" s="32">
        <v>0.0</v>
      </c>
      <c r="M33" s="32">
        <v>0.0</v>
      </c>
      <c r="N33" s="32">
        <v>0.0</v>
      </c>
      <c r="O33" s="32">
        <v>0.0</v>
      </c>
      <c r="P33" s="32">
        <v>0.0</v>
      </c>
      <c r="Q33" s="32">
        <v>0.0</v>
      </c>
      <c r="R33" s="32">
        <v>0.0</v>
      </c>
      <c r="S33" s="32">
        <v>0.0</v>
      </c>
      <c r="T33" s="32">
        <v>0.0</v>
      </c>
      <c r="U33" s="32">
        <v>0.0</v>
      </c>
      <c r="V33" s="32">
        <v>0.0</v>
      </c>
      <c r="W33" s="32">
        <v>0.0</v>
      </c>
      <c r="X33" s="32">
        <v>0.0</v>
      </c>
      <c r="Y33" s="4">
        <v>0.0</v>
      </c>
      <c r="Z33" s="4">
        <v>0.0</v>
      </c>
      <c r="AA33" s="4">
        <v>0.0</v>
      </c>
      <c r="AB33" s="4">
        <v>0.0</v>
      </c>
      <c r="AC33" s="4">
        <v>0.0</v>
      </c>
      <c r="AD33" s="4">
        <v>0.0</v>
      </c>
      <c r="AE33" s="4">
        <v>0.0</v>
      </c>
      <c r="AF33" s="4">
        <v>0.0</v>
      </c>
      <c r="AG33" s="4">
        <v>0.0</v>
      </c>
      <c r="AH33" s="4">
        <v>0.0</v>
      </c>
      <c r="AI33" s="4">
        <v>0.0</v>
      </c>
      <c r="AJ33" s="4">
        <v>0.0</v>
      </c>
      <c r="AK33" s="4">
        <v>0.0</v>
      </c>
      <c r="AL33" s="4">
        <v>0.0</v>
      </c>
      <c r="AM33" s="4">
        <v>0.0</v>
      </c>
      <c r="AN33" s="4">
        <v>0.0</v>
      </c>
      <c r="AO33" s="4">
        <v>1.0</v>
      </c>
      <c r="AP33" s="4">
        <v>0.0</v>
      </c>
      <c r="AQ33" s="4">
        <v>0.0</v>
      </c>
      <c r="AR33" s="4">
        <v>0.0</v>
      </c>
      <c r="AS33" s="4">
        <v>0.0</v>
      </c>
      <c r="AT33" s="4">
        <v>0.0</v>
      </c>
      <c r="AU33" s="4">
        <v>0.0</v>
      </c>
      <c r="AV33" s="4">
        <v>0.0</v>
      </c>
      <c r="AW33" s="4">
        <v>0.0</v>
      </c>
      <c r="AX33" s="4">
        <v>0.0</v>
      </c>
      <c r="AY33" s="4">
        <v>0.0</v>
      </c>
      <c r="AZ33" s="4">
        <v>0.0</v>
      </c>
      <c r="BA33" s="4">
        <v>0.0</v>
      </c>
      <c r="BB33" s="4">
        <v>0.0</v>
      </c>
      <c r="BC33" s="4">
        <v>0.0</v>
      </c>
    </row>
    <row r="34">
      <c r="A34" s="4" t="s">
        <v>1338</v>
      </c>
      <c r="B34" s="31">
        <f t="shared" si="2"/>
        <v>1</v>
      </c>
      <c r="C34" s="32">
        <v>0.0</v>
      </c>
      <c r="D34" s="32">
        <v>0.0</v>
      </c>
      <c r="E34" s="32">
        <v>0.0</v>
      </c>
      <c r="F34" s="32">
        <v>0.0</v>
      </c>
      <c r="G34" s="32">
        <v>0.0</v>
      </c>
      <c r="H34" s="32">
        <v>0.0</v>
      </c>
      <c r="I34" s="32">
        <v>0.0</v>
      </c>
      <c r="J34" s="32">
        <v>0.0</v>
      </c>
      <c r="K34" s="32">
        <v>0.0</v>
      </c>
      <c r="L34" s="4">
        <v>0.0</v>
      </c>
      <c r="M34" s="4">
        <v>1.0</v>
      </c>
      <c r="N34" s="32">
        <v>0.0</v>
      </c>
      <c r="O34" s="32">
        <v>0.0</v>
      </c>
      <c r="P34" s="32">
        <v>0.0</v>
      </c>
      <c r="Q34" s="32">
        <v>0.0</v>
      </c>
      <c r="R34" s="32">
        <v>0.0</v>
      </c>
      <c r="S34" s="32">
        <v>0.0</v>
      </c>
      <c r="T34" s="32">
        <v>0.0</v>
      </c>
      <c r="U34" s="32">
        <v>0.0</v>
      </c>
      <c r="V34" s="32">
        <v>0.0</v>
      </c>
      <c r="W34" s="32">
        <v>0.0</v>
      </c>
      <c r="X34" s="32">
        <v>0.0</v>
      </c>
      <c r="Y34" s="32">
        <v>0.0</v>
      </c>
      <c r="Z34" s="32">
        <v>0.0</v>
      </c>
      <c r="AA34" s="32">
        <v>0.0</v>
      </c>
      <c r="AB34" s="32">
        <v>0.0</v>
      </c>
      <c r="AC34" s="32">
        <v>0.0</v>
      </c>
      <c r="AD34" s="32">
        <v>0.0</v>
      </c>
      <c r="AE34" s="32">
        <v>0.0</v>
      </c>
      <c r="AF34" s="32">
        <v>0.0</v>
      </c>
      <c r="AG34" s="32">
        <v>0.0</v>
      </c>
      <c r="AH34" s="32">
        <v>0.0</v>
      </c>
      <c r="AI34" s="32">
        <v>0.0</v>
      </c>
      <c r="AJ34" s="32">
        <v>0.0</v>
      </c>
      <c r="AK34" s="32">
        <v>0.0</v>
      </c>
      <c r="AL34" s="32">
        <v>0.0</v>
      </c>
      <c r="AM34" s="32">
        <v>0.0</v>
      </c>
      <c r="AN34" s="32">
        <v>0.0</v>
      </c>
      <c r="AO34" s="32">
        <v>0.0</v>
      </c>
      <c r="AP34" s="32">
        <v>0.0</v>
      </c>
      <c r="AQ34" s="32">
        <v>0.0</v>
      </c>
      <c r="AR34" s="32">
        <v>0.0</v>
      </c>
      <c r="AS34" s="32">
        <v>0.0</v>
      </c>
      <c r="AT34" s="32">
        <v>0.0</v>
      </c>
      <c r="AU34" s="32">
        <v>0.0</v>
      </c>
      <c r="AV34" s="32">
        <v>0.0</v>
      </c>
      <c r="AW34" s="32">
        <v>0.0</v>
      </c>
      <c r="AX34" s="32">
        <v>0.0</v>
      </c>
      <c r="AY34" s="32">
        <v>0.0</v>
      </c>
      <c r="AZ34" s="32">
        <v>0.0</v>
      </c>
      <c r="BA34" s="32">
        <v>0.0</v>
      </c>
      <c r="BB34" s="32">
        <v>0.0</v>
      </c>
      <c r="BC34" s="32">
        <v>0.0</v>
      </c>
    </row>
    <row r="35">
      <c r="A35" s="4" t="s">
        <v>1337</v>
      </c>
      <c r="B35" s="31">
        <f t="shared" si="2"/>
        <v>1</v>
      </c>
      <c r="C35" s="32">
        <v>0.0</v>
      </c>
      <c r="D35" s="32">
        <v>0.0</v>
      </c>
      <c r="E35" s="32">
        <v>0.0</v>
      </c>
      <c r="F35" s="32">
        <v>0.0</v>
      </c>
      <c r="G35" s="32">
        <v>0.0</v>
      </c>
      <c r="H35" s="32">
        <v>0.0</v>
      </c>
      <c r="I35" s="32">
        <v>0.0</v>
      </c>
      <c r="J35" s="32">
        <v>0.0</v>
      </c>
      <c r="K35" s="32">
        <v>0.0</v>
      </c>
      <c r="L35" s="4">
        <v>1.0</v>
      </c>
      <c r="M35" s="32">
        <v>0.0</v>
      </c>
      <c r="N35" s="32">
        <v>0.0</v>
      </c>
      <c r="O35" s="32">
        <v>0.0</v>
      </c>
      <c r="P35" s="32">
        <v>0.0</v>
      </c>
      <c r="Q35" s="32">
        <v>0.0</v>
      </c>
      <c r="R35" s="32">
        <v>0.0</v>
      </c>
      <c r="S35" s="32">
        <v>0.0</v>
      </c>
      <c r="T35" s="32">
        <v>0.0</v>
      </c>
      <c r="U35" s="32">
        <v>0.0</v>
      </c>
      <c r="V35" s="32">
        <v>0.0</v>
      </c>
      <c r="W35" s="32">
        <v>0.0</v>
      </c>
      <c r="X35" s="32">
        <v>0.0</v>
      </c>
      <c r="Y35" s="32">
        <v>0.0</v>
      </c>
      <c r="Z35" s="32">
        <v>0.0</v>
      </c>
      <c r="AA35" s="32">
        <v>0.0</v>
      </c>
      <c r="AB35" s="32">
        <v>0.0</v>
      </c>
      <c r="AC35" s="32">
        <v>0.0</v>
      </c>
      <c r="AD35" s="32">
        <v>0.0</v>
      </c>
      <c r="AE35" s="32">
        <v>0.0</v>
      </c>
      <c r="AF35" s="32">
        <v>0.0</v>
      </c>
      <c r="AG35" s="32">
        <v>0.0</v>
      </c>
      <c r="AH35" s="32">
        <v>0.0</v>
      </c>
      <c r="AI35" s="32">
        <v>0.0</v>
      </c>
      <c r="AJ35" s="32">
        <v>0.0</v>
      </c>
      <c r="AK35" s="32">
        <v>0.0</v>
      </c>
      <c r="AL35" s="32">
        <v>0.0</v>
      </c>
      <c r="AM35" s="32">
        <v>0.0</v>
      </c>
      <c r="AN35" s="32">
        <v>0.0</v>
      </c>
      <c r="AO35" s="32">
        <v>0.0</v>
      </c>
      <c r="AP35" s="32">
        <v>0.0</v>
      </c>
      <c r="AQ35" s="32">
        <v>0.0</v>
      </c>
      <c r="AR35" s="32">
        <v>0.0</v>
      </c>
      <c r="AS35" s="32">
        <v>0.0</v>
      </c>
      <c r="AT35" s="32">
        <v>0.0</v>
      </c>
      <c r="AU35" s="32">
        <v>0.0</v>
      </c>
      <c r="AV35" s="32">
        <v>0.0</v>
      </c>
      <c r="AW35" s="32">
        <v>0.0</v>
      </c>
      <c r="AX35" s="32">
        <v>0.0</v>
      </c>
      <c r="AY35" s="32">
        <v>0.0</v>
      </c>
      <c r="AZ35" s="32">
        <v>0.0</v>
      </c>
      <c r="BA35" s="32">
        <v>0.0</v>
      </c>
      <c r="BB35" s="32">
        <v>0.0</v>
      </c>
      <c r="BC35" s="32">
        <v>0.0</v>
      </c>
    </row>
    <row r="36">
      <c r="B36" s="8"/>
      <c r="I36" s="32"/>
      <c r="J36" s="32"/>
      <c r="K36" s="32"/>
      <c r="L36" s="32"/>
      <c r="M36" s="32"/>
      <c r="N36" s="32"/>
      <c r="O36" s="32"/>
      <c r="P36" s="32"/>
      <c r="Q36" s="32"/>
      <c r="R36" s="32"/>
      <c r="S36" s="32"/>
      <c r="T36" s="32"/>
      <c r="U36" s="32"/>
      <c r="V36" s="32"/>
      <c r="W36" s="32"/>
      <c r="X36" s="32"/>
      <c r="Y36" s="32"/>
      <c r="Z36" s="32"/>
      <c r="AA36" s="32"/>
      <c r="AB36" s="32"/>
      <c r="AC36" s="32"/>
      <c r="AD36" s="32"/>
      <c r="AE36" s="32"/>
      <c r="AF36" s="32"/>
      <c r="AG36" s="32"/>
      <c r="AH36" s="32"/>
      <c r="AI36" s="32"/>
      <c r="AJ36" s="32"/>
      <c r="AK36" s="32"/>
      <c r="AL36" s="32"/>
      <c r="AM36" s="32"/>
      <c r="AN36" s="32"/>
      <c r="AO36" s="32"/>
      <c r="AP36" s="32"/>
      <c r="AQ36" s="32"/>
      <c r="AR36" s="32"/>
      <c r="AS36" s="32"/>
      <c r="AT36" s="32"/>
      <c r="AU36" s="32"/>
      <c r="AV36" s="32"/>
      <c r="AW36" s="32"/>
      <c r="AX36" s="32"/>
      <c r="AY36" s="32"/>
      <c r="AZ36" s="32"/>
      <c r="BA36" s="32"/>
      <c r="BB36" s="32"/>
      <c r="BC36" s="32"/>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2.63" defaultRowHeight="15.75"/>
  <cols>
    <col customWidth="1" hidden="1" min="1" max="1" width="3.25"/>
    <col customWidth="1" min="2" max="2" width="23.0"/>
    <col customWidth="1" min="3" max="3" width="5.5"/>
    <col customWidth="1" min="4" max="4" width="4.5"/>
    <col customWidth="1" min="5" max="5" width="5.38"/>
    <col customWidth="1" min="6" max="6" width="5.5"/>
    <col customWidth="1" min="7" max="7" width="7.5"/>
    <col customWidth="1" min="8" max="8" width="5.5"/>
    <col customWidth="1" min="9" max="9" width="7.5"/>
    <col customWidth="1" min="10" max="10" width="6.25"/>
    <col customWidth="1" min="11" max="11" width="6.38"/>
    <col customWidth="1" min="12" max="12" width="6.63"/>
    <col customWidth="1" min="13" max="13" width="7.0"/>
    <col customWidth="1" min="14" max="14" width="6.63"/>
    <col customWidth="1" min="15" max="15" width="5.88"/>
    <col customWidth="1" min="16" max="16" width="6.38"/>
    <col customWidth="1" min="17" max="17" width="7.13"/>
    <col customWidth="1" min="18" max="18" width="5.25"/>
    <col customWidth="1" min="19" max="19" width="6.88"/>
    <col customWidth="1" min="20" max="20" width="6.0"/>
    <col customWidth="1" min="21" max="21" width="7.13"/>
    <col customWidth="1" min="22" max="22" width="6.0"/>
    <col customWidth="1" min="23" max="23" width="6.25"/>
    <col customWidth="1" min="24" max="24" width="5.38"/>
    <col customWidth="1" min="25" max="25" width="6.5"/>
    <col customWidth="1" min="26" max="27" width="7.25"/>
    <col customWidth="1" min="28" max="28" width="7.0"/>
    <col customWidth="1" min="29" max="29" width="6.5"/>
    <col customWidth="1" min="30" max="31" width="7.13"/>
    <col customWidth="1" min="32" max="32" width="4.88"/>
    <col customWidth="1" min="33" max="33" width="6.25"/>
    <col customWidth="1" min="34" max="34" width="6.13"/>
    <col customWidth="1" min="35" max="35" width="4.88"/>
  </cols>
  <sheetData>
    <row r="1">
      <c r="A1" s="33"/>
      <c r="B1" s="34" t="s">
        <v>55</v>
      </c>
      <c r="C1" s="4">
        <v>49.0</v>
      </c>
      <c r="D1" s="4">
        <v>33.0</v>
      </c>
      <c r="E1" s="4">
        <v>43.0</v>
      </c>
      <c r="F1" s="4">
        <v>37.0</v>
      </c>
      <c r="G1" s="4">
        <v>14.0</v>
      </c>
      <c r="H1" s="4">
        <v>46.0</v>
      </c>
      <c r="I1" s="4">
        <v>19.0</v>
      </c>
      <c r="J1" s="4">
        <v>16.0</v>
      </c>
      <c r="K1" s="4">
        <v>20.0</v>
      </c>
      <c r="L1" s="4">
        <v>47.0</v>
      </c>
      <c r="M1" s="4">
        <v>1.0</v>
      </c>
      <c r="N1" s="4">
        <v>5.0</v>
      </c>
      <c r="O1" s="4">
        <v>0.0</v>
      </c>
      <c r="P1" s="4">
        <v>0.0</v>
      </c>
      <c r="Q1" s="4">
        <v>12.0</v>
      </c>
      <c r="R1" s="4">
        <v>4.0</v>
      </c>
      <c r="S1" s="4">
        <v>6.0</v>
      </c>
      <c r="T1" s="4">
        <v>0.0</v>
      </c>
      <c r="U1" s="4">
        <v>11.0</v>
      </c>
      <c r="V1" s="4">
        <v>10.0</v>
      </c>
      <c r="W1" s="4">
        <v>1.0</v>
      </c>
      <c r="X1" s="4">
        <v>4.0</v>
      </c>
      <c r="Y1" s="4">
        <v>7.0</v>
      </c>
      <c r="Z1" s="4">
        <v>21.0</v>
      </c>
      <c r="AA1" s="4">
        <v>0.0</v>
      </c>
      <c r="AB1" s="4">
        <v>2.0</v>
      </c>
      <c r="AC1" s="4">
        <v>4.0</v>
      </c>
      <c r="AD1" s="4">
        <v>2.0</v>
      </c>
      <c r="AE1" s="4">
        <v>4.0</v>
      </c>
      <c r="AF1" s="4">
        <v>13.0</v>
      </c>
      <c r="AG1" s="4">
        <v>13.0</v>
      </c>
      <c r="AH1" s="4">
        <v>19.0</v>
      </c>
      <c r="AI1" s="4">
        <v>8.0</v>
      </c>
    </row>
    <row r="2">
      <c r="A2" s="33"/>
      <c r="B2" s="35" t="s">
        <v>59</v>
      </c>
      <c r="C2" s="4">
        <v>32.0</v>
      </c>
      <c r="D2" s="4">
        <v>12.0</v>
      </c>
      <c r="E2" s="4">
        <v>41.0</v>
      </c>
      <c r="F2" s="4">
        <v>79.0</v>
      </c>
      <c r="G2" s="4">
        <v>36.0</v>
      </c>
      <c r="H2" s="4">
        <v>42.0</v>
      </c>
      <c r="I2" s="4">
        <v>14.0</v>
      </c>
      <c r="J2" s="4">
        <v>6.0</v>
      </c>
      <c r="K2" s="4">
        <v>22.0</v>
      </c>
      <c r="L2" s="4">
        <v>47.0</v>
      </c>
      <c r="M2" s="4">
        <v>11.0</v>
      </c>
      <c r="N2" s="4">
        <v>3.0</v>
      </c>
      <c r="O2" s="4">
        <v>2.0</v>
      </c>
      <c r="P2" s="4">
        <v>1.0</v>
      </c>
      <c r="Q2" s="4">
        <v>7.0</v>
      </c>
      <c r="R2" s="4">
        <v>2.0</v>
      </c>
      <c r="S2" s="4">
        <v>2.0</v>
      </c>
      <c r="T2" s="4">
        <v>0.0</v>
      </c>
      <c r="U2" s="4">
        <v>6.0</v>
      </c>
      <c r="V2" s="4">
        <v>5.0</v>
      </c>
      <c r="W2" s="4">
        <v>4.0</v>
      </c>
      <c r="X2" s="4">
        <v>2.0</v>
      </c>
      <c r="Y2" s="4">
        <v>2.0</v>
      </c>
      <c r="Z2" s="4">
        <v>11.0</v>
      </c>
      <c r="AA2" s="4">
        <v>0.0</v>
      </c>
      <c r="AB2" s="4">
        <v>0.0</v>
      </c>
      <c r="AC2" s="4">
        <v>1.0</v>
      </c>
      <c r="AD2" s="4">
        <v>1.0</v>
      </c>
      <c r="AE2" s="4">
        <v>2.0</v>
      </c>
      <c r="AF2" s="4">
        <v>5.0</v>
      </c>
      <c r="AG2" s="4">
        <v>8.0</v>
      </c>
      <c r="AH2" s="4">
        <v>24.0</v>
      </c>
      <c r="AI2" s="4">
        <v>2.0</v>
      </c>
    </row>
    <row r="3">
      <c r="A3" s="33"/>
      <c r="B3" s="35" t="s">
        <v>60</v>
      </c>
      <c r="C3" s="4">
        <f t="shared" ref="C3:AI3" si="1">COUNT(C5:C4302)</f>
        <v>56</v>
      </c>
      <c r="D3" s="4">
        <f t="shared" si="1"/>
        <v>43</v>
      </c>
      <c r="E3" s="4">
        <f t="shared" si="1"/>
        <v>68</v>
      </c>
      <c r="F3" s="4">
        <f t="shared" si="1"/>
        <v>114</v>
      </c>
      <c r="G3" s="4">
        <f t="shared" si="1"/>
        <v>53</v>
      </c>
      <c r="H3" s="4">
        <f t="shared" si="1"/>
        <v>67</v>
      </c>
      <c r="I3" s="4">
        <f t="shared" si="1"/>
        <v>36</v>
      </c>
      <c r="J3" s="4">
        <f t="shared" si="1"/>
        <v>15</v>
      </c>
      <c r="K3" s="4">
        <f t="shared" si="1"/>
        <v>42</v>
      </c>
      <c r="L3" s="4">
        <f t="shared" si="1"/>
        <v>102</v>
      </c>
      <c r="M3" s="4">
        <f t="shared" si="1"/>
        <v>18</v>
      </c>
      <c r="N3" s="4">
        <f t="shared" si="1"/>
        <v>17</v>
      </c>
      <c r="O3" s="4">
        <f t="shared" si="1"/>
        <v>2</v>
      </c>
      <c r="P3" s="4">
        <f t="shared" si="1"/>
        <v>2</v>
      </c>
      <c r="Q3" s="4">
        <f t="shared" si="1"/>
        <v>15</v>
      </c>
      <c r="R3" s="4">
        <f t="shared" si="1"/>
        <v>9</v>
      </c>
      <c r="S3" s="4">
        <f t="shared" si="1"/>
        <v>6</v>
      </c>
      <c r="T3" s="4">
        <f t="shared" si="1"/>
        <v>1</v>
      </c>
      <c r="U3" s="4">
        <f t="shared" si="1"/>
        <v>14</v>
      </c>
      <c r="V3" s="4">
        <f t="shared" si="1"/>
        <v>13</v>
      </c>
      <c r="W3" s="4">
        <f t="shared" si="1"/>
        <v>7</v>
      </c>
      <c r="X3" s="4">
        <f t="shared" si="1"/>
        <v>5</v>
      </c>
      <c r="Y3" s="4">
        <f t="shared" si="1"/>
        <v>5</v>
      </c>
      <c r="Z3" s="4">
        <f t="shared" si="1"/>
        <v>27</v>
      </c>
      <c r="AA3" s="4">
        <f t="shared" si="1"/>
        <v>1</v>
      </c>
      <c r="AB3" s="4">
        <f t="shared" si="1"/>
        <v>1</v>
      </c>
      <c r="AC3" s="4">
        <f t="shared" si="1"/>
        <v>2</v>
      </c>
      <c r="AD3" s="4">
        <f t="shared" si="1"/>
        <v>1</v>
      </c>
      <c r="AE3" s="4">
        <f t="shared" si="1"/>
        <v>3</v>
      </c>
      <c r="AF3" s="4">
        <f t="shared" si="1"/>
        <v>14</v>
      </c>
      <c r="AG3" s="4">
        <f t="shared" si="1"/>
        <v>13</v>
      </c>
      <c r="AH3" s="4">
        <f t="shared" si="1"/>
        <v>53</v>
      </c>
      <c r="AI3" s="4">
        <f t="shared" si="1"/>
        <v>5</v>
      </c>
    </row>
    <row r="4">
      <c r="A4" s="3" t="s">
        <v>1346</v>
      </c>
      <c r="B4" s="36">
        <f>SUM(C5:AI1302)</f>
        <v>1463</v>
      </c>
      <c r="C4" s="4" t="s">
        <v>26</v>
      </c>
      <c r="D4" s="4" t="s">
        <v>23</v>
      </c>
      <c r="E4" s="4" t="s">
        <v>18</v>
      </c>
      <c r="F4" s="4" t="s">
        <v>19</v>
      </c>
      <c r="G4" s="4" t="s">
        <v>22</v>
      </c>
      <c r="H4" s="4" t="s">
        <v>1347</v>
      </c>
      <c r="I4" s="4" t="s">
        <v>35</v>
      </c>
      <c r="J4" s="4" t="s">
        <v>32</v>
      </c>
      <c r="K4" s="4" t="s">
        <v>31</v>
      </c>
      <c r="L4" s="4" t="s">
        <v>24</v>
      </c>
      <c r="M4" s="4" t="s">
        <v>36</v>
      </c>
      <c r="N4" s="4" t="s">
        <v>34</v>
      </c>
      <c r="O4" s="4" t="s">
        <v>44</v>
      </c>
      <c r="P4" s="4" t="s">
        <v>47</v>
      </c>
      <c r="Q4" s="4" t="s">
        <v>1262</v>
      </c>
      <c r="R4" s="4" t="s">
        <v>42</v>
      </c>
      <c r="S4" s="4" t="s">
        <v>29</v>
      </c>
      <c r="T4" s="4" t="s">
        <v>1339</v>
      </c>
      <c r="U4" s="4" t="s">
        <v>39</v>
      </c>
      <c r="V4" s="4" t="s">
        <v>33</v>
      </c>
      <c r="W4" s="4" t="s">
        <v>30</v>
      </c>
      <c r="X4" s="4" t="s">
        <v>50</v>
      </c>
      <c r="Y4" s="4" t="s">
        <v>38</v>
      </c>
      <c r="Z4" s="4" t="s">
        <v>25</v>
      </c>
      <c r="AA4" s="4" t="s">
        <v>1338</v>
      </c>
      <c r="AB4" s="4" t="s">
        <v>41</v>
      </c>
      <c r="AC4" s="4" t="s">
        <v>45</v>
      </c>
      <c r="AD4" s="4" t="s">
        <v>1337</v>
      </c>
      <c r="AE4" s="4" t="s">
        <v>48</v>
      </c>
      <c r="AF4" s="4" t="s">
        <v>21</v>
      </c>
      <c r="AG4" s="4" t="s">
        <v>46</v>
      </c>
      <c r="AH4" s="4" t="s">
        <v>28</v>
      </c>
      <c r="AI4" s="4" t="s">
        <v>43</v>
      </c>
    </row>
    <row r="5">
      <c r="A5" s="4"/>
      <c r="B5" s="35" t="s">
        <v>256</v>
      </c>
      <c r="R5" s="4">
        <v>1.0</v>
      </c>
    </row>
    <row r="6">
      <c r="A6" s="4"/>
      <c r="B6" s="35" t="s">
        <v>1264</v>
      </c>
      <c r="C6" s="4">
        <v>2.0</v>
      </c>
    </row>
    <row r="7">
      <c r="A7" s="4"/>
      <c r="B7" s="35" t="s">
        <v>1263</v>
      </c>
      <c r="K7" s="4"/>
      <c r="N7" s="4">
        <v>1.0</v>
      </c>
    </row>
    <row r="8">
      <c r="A8" s="4"/>
      <c r="B8" s="35" t="s">
        <v>1265</v>
      </c>
      <c r="K8" s="4">
        <v>1.0</v>
      </c>
    </row>
    <row r="9">
      <c r="A9" s="4"/>
      <c r="B9" s="35" t="s">
        <v>1269</v>
      </c>
      <c r="F9" s="4">
        <v>1.0</v>
      </c>
    </row>
    <row r="10">
      <c r="A10" s="4" t="s">
        <v>1348</v>
      </c>
      <c r="B10" s="35" t="s">
        <v>1266</v>
      </c>
    </row>
    <row r="11">
      <c r="A11" s="4" t="s">
        <v>1348</v>
      </c>
      <c r="B11" s="35" t="s">
        <v>1267</v>
      </c>
    </row>
    <row r="12">
      <c r="A12" s="4"/>
      <c r="B12" s="35" t="s">
        <v>1268</v>
      </c>
      <c r="F12" s="4">
        <v>1.0</v>
      </c>
      <c r="K12" s="4">
        <v>2.0</v>
      </c>
    </row>
    <row r="13">
      <c r="A13" s="4" t="s">
        <v>1348</v>
      </c>
      <c r="B13" s="35" t="s">
        <v>418</v>
      </c>
    </row>
    <row r="14">
      <c r="A14" s="4" t="s">
        <v>1348</v>
      </c>
      <c r="B14" s="35" t="s">
        <v>419</v>
      </c>
    </row>
    <row r="15">
      <c r="A15" s="4"/>
      <c r="B15" s="35" t="s">
        <v>420</v>
      </c>
      <c r="C15" s="4"/>
      <c r="K15" s="4">
        <v>1.0</v>
      </c>
      <c r="X15" s="4"/>
    </row>
    <row r="16">
      <c r="A16" s="4" t="s">
        <v>1348</v>
      </c>
      <c r="B16" s="35" t="s">
        <v>421</v>
      </c>
    </row>
    <row r="17">
      <c r="A17" s="4" t="s">
        <v>1348</v>
      </c>
      <c r="B17" s="35" t="s">
        <v>422</v>
      </c>
      <c r="C17" s="4">
        <v>1.0</v>
      </c>
      <c r="E17" s="4">
        <v>6.0</v>
      </c>
      <c r="X17" s="4">
        <v>1.0</v>
      </c>
    </row>
    <row r="18">
      <c r="A18" s="4" t="s">
        <v>1348</v>
      </c>
      <c r="B18" s="35" t="s">
        <v>423</v>
      </c>
      <c r="E18" s="4">
        <v>1.0</v>
      </c>
      <c r="H18" s="4">
        <v>1.0</v>
      </c>
      <c r="L18" s="4">
        <v>1.0</v>
      </c>
    </row>
    <row r="19">
      <c r="A19" s="4" t="s">
        <v>1348</v>
      </c>
      <c r="B19" s="35" t="s">
        <v>580</v>
      </c>
    </row>
    <row r="20">
      <c r="A20" s="4" t="s">
        <v>1348</v>
      </c>
      <c r="B20" s="35" t="s">
        <v>424</v>
      </c>
      <c r="H20" s="4">
        <v>1.0</v>
      </c>
    </row>
    <row r="21">
      <c r="A21" s="4"/>
      <c r="B21" s="35" t="s">
        <v>425</v>
      </c>
      <c r="H21" s="4">
        <v>1.0</v>
      </c>
    </row>
    <row r="22">
      <c r="A22" s="4" t="s">
        <v>1348</v>
      </c>
      <c r="B22" s="35" t="s">
        <v>426</v>
      </c>
    </row>
    <row r="23">
      <c r="A23" s="4"/>
      <c r="B23" s="35" t="s">
        <v>862</v>
      </c>
      <c r="E23" s="4"/>
      <c r="H23" s="4">
        <v>1.0</v>
      </c>
    </row>
    <row r="24">
      <c r="A24" s="4"/>
      <c r="B24" s="35" t="s">
        <v>863</v>
      </c>
      <c r="E24" s="4"/>
      <c r="H24" s="4">
        <v>1.0</v>
      </c>
    </row>
    <row r="25">
      <c r="A25" s="4"/>
      <c r="B25" s="35" t="s">
        <v>140</v>
      </c>
      <c r="E25" s="4">
        <v>1.0</v>
      </c>
    </row>
    <row r="26">
      <c r="A26" s="4"/>
      <c r="B26" s="35" t="s">
        <v>141</v>
      </c>
      <c r="E26" s="4">
        <v>1.0</v>
      </c>
      <c r="Z26" s="4">
        <v>1.0</v>
      </c>
    </row>
    <row r="27">
      <c r="A27" s="4" t="s">
        <v>1348</v>
      </c>
      <c r="B27" s="35" t="s">
        <v>142</v>
      </c>
    </row>
    <row r="28">
      <c r="A28" s="4"/>
      <c r="B28" s="35" t="s">
        <v>143</v>
      </c>
      <c r="E28" s="4">
        <v>1.0</v>
      </c>
    </row>
    <row r="29">
      <c r="A29" s="4" t="s">
        <v>1349</v>
      </c>
      <c r="B29" s="35" t="s">
        <v>282</v>
      </c>
    </row>
    <row r="30">
      <c r="A30" s="4" t="s">
        <v>1348</v>
      </c>
      <c r="B30" s="35" t="s">
        <v>240</v>
      </c>
    </row>
    <row r="31">
      <c r="A31" s="4" t="s">
        <v>1348</v>
      </c>
      <c r="B31" s="35" t="s">
        <v>241</v>
      </c>
    </row>
    <row r="32">
      <c r="A32" s="4" t="s">
        <v>1349</v>
      </c>
      <c r="B32" s="35" t="s">
        <v>283</v>
      </c>
    </row>
    <row r="33">
      <c r="A33" s="4" t="s">
        <v>1349</v>
      </c>
      <c r="B33" s="35" t="s">
        <v>284</v>
      </c>
    </row>
    <row r="34">
      <c r="A34" s="4" t="s">
        <v>1349</v>
      </c>
      <c r="B34" s="35" t="s">
        <v>285</v>
      </c>
    </row>
    <row r="35">
      <c r="A35" s="4" t="s">
        <v>1348</v>
      </c>
      <c r="B35" s="35" t="s">
        <v>286</v>
      </c>
    </row>
    <row r="36">
      <c r="A36" s="4" t="s">
        <v>1349</v>
      </c>
      <c r="B36" s="35" t="s">
        <v>287</v>
      </c>
    </row>
    <row r="37">
      <c r="A37" s="4"/>
      <c r="B37" s="35" t="s">
        <v>205</v>
      </c>
      <c r="M37" s="4">
        <v>1.0</v>
      </c>
    </row>
    <row r="38">
      <c r="A38" s="4"/>
      <c r="B38" s="35" t="s">
        <v>206</v>
      </c>
      <c r="M38" s="4">
        <v>13.0</v>
      </c>
    </row>
    <row r="39">
      <c r="A39" s="4"/>
      <c r="B39" s="35" t="s">
        <v>207</v>
      </c>
      <c r="M39" s="4">
        <v>2.0</v>
      </c>
    </row>
    <row r="40">
      <c r="A40" s="4" t="s">
        <v>1348</v>
      </c>
      <c r="B40" s="35" t="s">
        <v>208</v>
      </c>
    </row>
    <row r="41">
      <c r="A41" s="4"/>
      <c r="B41" s="35" t="s">
        <v>209</v>
      </c>
      <c r="M41" s="4">
        <v>1.0</v>
      </c>
    </row>
    <row r="42">
      <c r="A42" s="4"/>
      <c r="B42" s="35" t="s">
        <v>581</v>
      </c>
      <c r="H42" s="4">
        <v>1.0</v>
      </c>
    </row>
    <row r="43">
      <c r="A43" s="4" t="s">
        <v>57</v>
      </c>
      <c r="B43" s="35" t="s">
        <v>582</v>
      </c>
    </row>
    <row r="44">
      <c r="A44" s="4" t="s">
        <v>57</v>
      </c>
      <c r="B44" s="35" t="s">
        <v>427</v>
      </c>
      <c r="D44" s="4">
        <v>1.0</v>
      </c>
      <c r="F44" s="4">
        <v>1.0</v>
      </c>
      <c r="H44" s="4">
        <v>1.0</v>
      </c>
      <c r="L44" s="4">
        <v>1.0</v>
      </c>
      <c r="Z44" s="4">
        <v>2.0</v>
      </c>
    </row>
    <row r="45">
      <c r="A45" s="4" t="s">
        <v>57</v>
      </c>
      <c r="B45" s="35" t="s">
        <v>252</v>
      </c>
    </row>
    <row r="46">
      <c r="A46" s="4"/>
      <c r="B46" s="35" t="s">
        <v>253</v>
      </c>
      <c r="H46" s="4">
        <v>1.0</v>
      </c>
    </row>
    <row r="47">
      <c r="A47" s="4" t="s">
        <v>57</v>
      </c>
      <c r="B47" s="35" t="s">
        <v>254</v>
      </c>
    </row>
    <row r="48">
      <c r="A48" s="4" t="s">
        <v>57</v>
      </c>
      <c r="B48" s="35" t="s">
        <v>428</v>
      </c>
      <c r="D48" s="4">
        <v>1.0</v>
      </c>
    </row>
    <row r="49">
      <c r="A49" s="4" t="s">
        <v>1349</v>
      </c>
      <c r="B49" s="35" t="s">
        <v>583</v>
      </c>
    </row>
    <row r="50">
      <c r="A50" s="4"/>
      <c r="B50" s="35" t="s">
        <v>584</v>
      </c>
      <c r="AG50" s="4">
        <v>1.0</v>
      </c>
    </row>
    <row r="51">
      <c r="A51" s="4" t="s">
        <v>1349</v>
      </c>
      <c r="B51" s="35" t="s">
        <v>925</v>
      </c>
    </row>
    <row r="52">
      <c r="A52" s="4"/>
      <c r="B52" s="35" t="s">
        <v>429</v>
      </c>
      <c r="D52" s="4">
        <v>1.0</v>
      </c>
      <c r="F52" s="4"/>
      <c r="J52" s="4">
        <v>1.0</v>
      </c>
      <c r="AD52" s="4"/>
      <c r="AE52" s="4">
        <v>1.0</v>
      </c>
    </row>
    <row r="53">
      <c r="A53" s="4"/>
      <c r="B53" s="35" t="s">
        <v>1350</v>
      </c>
      <c r="K53" s="4">
        <v>2.0</v>
      </c>
      <c r="Q53" s="4">
        <v>2.0</v>
      </c>
      <c r="AI53" s="4">
        <v>1.0</v>
      </c>
    </row>
    <row r="54">
      <c r="A54" s="4"/>
      <c r="B54" s="35" t="s">
        <v>242</v>
      </c>
      <c r="F54" s="4">
        <v>1.0</v>
      </c>
    </row>
    <row r="55">
      <c r="A55" s="4"/>
      <c r="B55" s="35" t="s">
        <v>243</v>
      </c>
      <c r="F55" s="4">
        <v>1.0</v>
      </c>
    </row>
    <row r="56">
      <c r="A56" s="4"/>
      <c r="B56" s="35" t="s">
        <v>244</v>
      </c>
      <c r="F56" s="4">
        <v>1.0</v>
      </c>
    </row>
    <row r="57">
      <c r="A57" s="4"/>
      <c r="B57" s="35" t="s">
        <v>245</v>
      </c>
      <c r="F57" s="4">
        <v>1.0</v>
      </c>
    </row>
    <row r="58">
      <c r="A58" s="4" t="s">
        <v>57</v>
      </c>
      <c r="B58" s="35" t="s">
        <v>246</v>
      </c>
    </row>
    <row r="59">
      <c r="A59" s="4"/>
      <c r="B59" s="35" t="s">
        <v>247</v>
      </c>
      <c r="F59" s="4">
        <v>1.0</v>
      </c>
      <c r="U59" s="4"/>
    </row>
    <row r="60">
      <c r="A60" s="4"/>
      <c r="B60" s="35" t="s">
        <v>986</v>
      </c>
      <c r="F60" s="4"/>
      <c r="U60" s="4">
        <v>2.0</v>
      </c>
    </row>
    <row r="61">
      <c r="A61" s="4"/>
      <c r="B61" s="35" t="s">
        <v>707</v>
      </c>
      <c r="F61" s="4">
        <v>1.0</v>
      </c>
    </row>
    <row r="62">
      <c r="A62" s="4" t="s">
        <v>57</v>
      </c>
      <c r="B62" s="35" t="s">
        <v>708</v>
      </c>
    </row>
    <row r="63">
      <c r="A63" s="4" t="s">
        <v>1348</v>
      </c>
      <c r="B63" s="35" t="s">
        <v>101</v>
      </c>
    </row>
    <row r="64">
      <c r="A64" s="4" t="s">
        <v>1348</v>
      </c>
      <c r="B64" s="35" t="s">
        <v>102</v>
      </c>
    </row>
    <row r="65">
      <c r="A65" s="4" t="s">
        <v>1348</v>
      </c>
      <c r="B65" s="35" t="s">
        <v>103</v>
      </c>
    </row>
    <row r="66">
      <c r="A66" s="4" t="s">
        <v>1348</v>
      </c>
      <c r="B66" s="35" t="s">
        <v>152</v>
      </c>
    </row>
    <row r="67">
      <c r="A67" s="4"/>
      <c r="B67" s="35" t="s">
        <v>249</v>
      </c>
      <c r="F67" s="4">
        <v>1.0</v>
      </c>
    </row>
    <row r="68">
      <c r="A68" s="4"/>
      <c r="B68" s="35" t="s">
        <v>250</v>
      </c>
      <c r="F68" s="4">
        <v>1.0</v>
      </c>
    </row>
    <row r="69">
      <c r="A69" s="4"/>
      <c r="B69" s="35" t="s">
        <v>432</v>
      </c>
      <c r="C69" s="4"/>
      <c r="L69" s="4">
        <v>1.0</v>
      </c>
      <c r="AH69" s="4">
        <v>1.0</v>
      </c>
    </row>
    <row r="70">
      <c r="A70" s="4"/>
      <c r="B70" s="35" t="s">
        <v>1351</v>
      </c>
      <c r="C70" s="4">
        <v>1.0</v>
      </c>
      <c r="L70" s="4">
        <v>1.0</v>
      </c>
      <c r="AH70" s="4">
        <v>1.0</v>
      </c>
    </row>
    <row r="71">
      <c r="A71" s="4" t="s">
        <v>1348</v>
      </c>
      <c r="B71" s="35" t="s">
        <v>438</v>
      </c>
    </row>
    <row r="72">
      <c r="A72" s="4"/>
      <c r="B72" s="35" t="s">
        <v>93</v>
      </c>
      <c r="K72" s="4">
        <v>1.0</v>
      </c>
    </row>
    <row r="73">
      <c r="A73" s="4"/>
      <c r="B73" s="35" t="s">
        <v>439</v>
      </c>
      <c r="X73" s="4">
        <v>1.0</v>
      </c>
    </row>
    <row r="74">
      <c r="A74" s="4" t="s">
        <v>1349</v>
      </c>
      <c r="B74" s="35" t="s">
        <v>587</v>
      </c>
    </row>
    <row r="75">
      <c r="A75" s="4"/>
      <c r="B75" s="35" t="s">
        <v>96</v>
      </c>
      <c r="C75" s="4"/>
      <c r="G75" s="4"/>
      <c r="I75" s="4"/>
      <c r="L75" s="4"/>
      <c r="U75" s="4">
        <v>1.0</v>
      </c>
      <c r="Z75" s="4"/>
      <c r="AH75" s="4"/>
    </row>
    <row r="76">
      <c r="A76" s="4"/>
      <c r="B76" s="35" t="s">
        <v>440</v>
      </c>
      <c r="C76" s="4">
        <v>1.0</v>
      </c>
      <c r="D76" s="4">
        <v>1.0</v>
      </c>
      <c r="E76" s="4">
        <v>1.0</v>
      </c>
      <c r="F76" s="4">
        <v>1.0</v>
      </c>
      <c r="G76" s="4"/>
      <c r="H76" s="4">
        <v>1.0</v>
      </c>
      <c r="I76" s="4"/>
      <c r="K76" s="4">
        <v>1.0</v>
      </c>
      <c r="L76" s="4">
        <v>1.0</v>
      </c>
      <c r="U76" s="4"/>
      <c r="Z76" s="4">
        <v>1.0</v>
      </c>
      <c r="AH76" s="4">
        <v>1.0</v>
      </c>
    </row>
    <row r="77">
      <c r="A77" s="4" t="s">
        <v>57</v>
      </c>
      <c r="B77" s="35" t="s">
        <v>442</v>
      </c>
      <c r="C77" s="4">
        <v>1.0</v>
      </c>
      <c r="G77" s="4">
        <v>1.0</v>
      </c>
      <c r="I77" s="4">
        <v>1.0</v>
      </c>
      <c r="L77" s="4">
        <v>1.0</v>
      </c>
      <c r="U77" s="4">
        <v>1.0</v>
      </c>
      <c r="Z77" s="4">
        <v>1.0</v>
      </c>
      <c r="AH77" s="4">
        <v>1.0</v>
      </c>
    </row>
    <row r="78">
      <c r="A78" s="4" t="s">
        <v>1349</v>
      </c>
      <c r="B78" s="35" t="s">
        <v>443</v>
      </c>
    </row>
    <row r="79">
      <c r="A79" s="4" t="s">
        <v>1349</v>
      </c>
      <c r="B79" s="35" t="s">
        <v>589</v>
      </c>
      <c r="C79" s="4">
        <v>2.0</v>
      </c>
      <c r="E79" s="4">
        <v>34.0</v>
      </c>
      <c r="F79" s="4">
        <v>3.0</v>
      </c>
      <c r="G79" s="4">
        <v>2.0</v>
      </c>
      <c r="H79" s="4">
        <v>3.0</v>
      </c>
      <c r="I79" s="4">
        <v>3.0</v>
      </c>
      <c r="J79" s="4">
        <v>1.0</v>
      </c>
      <c r="V79" s="4">
        <v>2.0</v>
      </c>
      <c r="Y79" s="4">
        <v>1.0</v>
      </c>
    </row>
    <row r="80">
      <c r="A80" s="4" t="s">
        <v>1348</v>
      </c>
      <c r="B80" s="35" t="s">
        <v>1270</v>
      </c>
    </row>
    <row r="81">
      <c r="A81" s="4" t="s">
        <v>1348</v>
      </c>
      <c r="B81" s="35" t="s">
        <v>1271</v>
      </c>
    </row>
    <row r="82">
      <c r="A82" s="4" t="s">
        <v>57</v>
      </c>
      <c r="B82" s="35" t="s">
        <v>445</v>
      </c>
    </row>
    <row r="83">
      <c r="A83" s="4" t="s">
        <v>1349</v>
      </c>
      <c r="B83" s="35" t="s">
        <v>591</v>
      </c>
    </row>
    <row r="84">
      <c r="A84" s="4" t="s">
        <v>57</v>
      </c>
      <c r="B84" s="35" t="s">
        <v>592</v>
      </c>
    </row>
    <row r="85">
      <c r="A85" s="4"/>
      <c r="B85" s="35" t="s">
        <v>188</v>
      </c>
      <c r="H85" s="4"/>
      <c r="P85" s="4">
        <v>1.0</v>
      </c>
    </row>
    <row r="86">
      <c r="A86" s="4"/>
      <c r="B86" s="35" t="s">
        <v>263</v>
      </c>
      <c r="H86" s="4">
        <v>1.0</v>
      </c>
    </row>
    <row r="87">
      <c r="A87" s="4"/>
      <c r="B87" s="35" t="s">
        <v>264</v>
      </c>
      <c r="H87" s="4">
        <v>1.0</v>
      </c>
    </row>
    <row r="88">
      <c r="A88" s="4" t="s">
        <v>1348</v>
      </c>
      <c r="B88" s="35" t="s">
        <v>265</v>
      </c>
    </row>
    <row r="89">
      <c r="A89" s="4"/>
      <c r="B89" s="35" t="s">
        <v>266</v>
      </c>
      <c r="H89" s="4">
        <v>1.0</v>
      </c>
    </row>
    <row r="90">
      <c r="A90" s="4" t="s">
        <v>57</v>
      </c>
      <c r="B90" s="35" t="s">
        <v>593</v>
      </c>
      <c r="C90" s="4">
        <v>1.0</v>
      </c>
      <c r="I90" s="4">
        <v>2.0</v>
      </c>
    </row>
    <row r="91">
      <c r="A91" s="4"/>
      <c r="B91" s="35" t="s">
        <v>270</v>
      </c>
      <c r="E91" s="4">
        <v>1.0</v>
      </c>
      <c r="H91" s="4">
        <v>2.0</v>
      </c>
      <c r="K91" s="4"/>
    </row>
    <row r="92">
      <c r="A92" s="4"/>
      <c r="B92" s="35" t="s">
        <v>271</v>
      </c>
      <c r="E92" s="4">
        <v>1.0</v>
      </c>
      <c r="H92" s="4">
        <v>1.0</v>
      </c>
    </row>
    <row r="93">
      <c r="A93" s="4"/>
      <c r="B93" s="35" t="s">
        <v>272</v>
      </c>
      <c r="H93" s="4">
        <v>1.0</v>
      </c>
    </row>
    <row r="94">
      <c r="A94" s="4"/>
      <c r="B94" s="35" t="s">
        <v>280</v>
      </c>
      <c r="K94" s="4">
        <v>1.0</v>
      </c>
    </row>
    <row r="95">
      <c r="A95" s="4" t="s">
        <v>57</v>
      </c>
      <c r="B95" s="35" t="s">
        <v>446</v>
      </c>
      <c r="C95" s="4">
        <v>1.0</v>
      </c>
      <c r="D95" s="4">
        <v>3.0</v>
      </c>
      <c r="E95" s="4">
        <v>1.0</v>
      </c>
      <c r="F95" s="4">
        <v>1.0</v>
      </c>
      <c r="H95" s="4">
        <v>1.0</v>
      </c>
      <c r="I95" s="4">
        <v>1.0</v>
      </c>
      <c r="K95" s="4">
        <v>3.0</v>
      </c>
      <c r="L95" s="4">
        <v>1.0</v>
      </c>
      <c r="Q95" s="4">
        <v>1.0</v>
      </c>
      <c r="S95" s="4">
        <v>1.0</v>
      </c>
      <c r="Z95" s="4">
        <v>1.0</v>
      </c>
      <c r="AG95" s="4">
        <v>1.0</v>
      </c>
      <c r="AH95" s="4">
        <v>2.0</v>
      </c>
    </row>
    <row r="96">
      <c r="A96" s="4" t="s">
        <v>57</v>
      </c>
      <c r="B96" s="35" t="s">
        <v>447</v>
      </c>
      <c r="D96" s="4">
        <v>1.0</v>
      </c>
      <c r="E96" s="4">
        <v>1.0</v>
      </c>
      <c r="H96" s="4">
        <v>1.0</v>
      </c>
      <c r="L96" s="4">
        <v>1.0</v>
      </c>
      <c r="Z96" s="4">
        <v>1.0</v>
      </c>
      <c r="AH96" s="4">
        <v>1.0</v>
      </c>
    </row>
    <row r="97">
      <c r="A97" s="4" t="s">
        <v>57</v>
      </c>
      <c r="B97" s="35" t="s">
        <v>449</v>
      </c>
      <c r="I97" s="4">
        <v>18.0</v>
      </c>
      <c r="L97" s="4">
        <v>3.0</v>
      </c>
    </row>
    <row r="98">
      <c r="A98" s="4"/>
      <c r="B98" s="35" t="s">
        <v>595</v>
      </c>
      <c r="C98" s="4">
        <v>1.0</v>
      </c>
      <c r="L98" s="4">
        <v>1.0</v>
      </c>
    </row>
    <row r="99">
      <c r="A99" s="4"/>
      <c r="B99" s="35" t="s">
        <v>836</v>
      </c>
      <c r="C99" s="4">
        <v>1.0</v>
      </c>
    </row>
    <row r="100">
      <c r="A100" s="4"/>
      <c r="B100" s="35" t="s">
        <v>837</v>
      </c>
      <c r="D100" s="4">
        <v>1.0</v>
      </c>
      <c r="K100" s="4"/>
    </row>
    <row r="101">
      <c r="A101" s="4" t="s">
        <v>57</v>
      </c>
      <c r="B101" s="35" t="s">
        <v>450</v>
      </c>
      <c r="D101" s="4">
        <v>1.0</v>
      </c>
      <c r="H101" s="4">
        <v>1.0</v>
      </c>
      <c r="K101" s="4">
        <v>1.0</v>
      </c>
      <c r="L101" s="4">
        <v>1.0</v>
      </c>
      <c r="AH101" s="4">
        <v>1.0</v>
      </c>
    </row>
    <row r="102">
      <c r="A102" s="4" t="s">
        <v>1349</v>
      </c>
      <c r="B102" s="35" t="s">
        <v>451</v>
      </c>
    </row>
    <row r="103">
      <c r="A103" s="4" t="s">
        <v>57</v>
      </c>
      <c r="B103" s="35" t="s">
        <v>411</v>
      </c>
      <c r="E103" s="4">
        <v>1.0</v>
      </c>
    </row>
    <row r="104">
      <c r="A104" s="4"/>
      <c r="B104" s="35" t="s">
        <v>109</v>
      </c>
      <c r="O104" s="4">
        <v>2.0</v>
      </c>
    </row>
    <row r="105">
      <c r="A105" s="4"/>
      <c r="B105" s="35" t="s">
        <v>110</v>
      </c>
      <c r="C105" s="4">
        <v>1.0</v>
      </c>
      <c r="U105" s="4"/>
    </row>
    <row r="106">
      <c r="A106" s="4"/>
      <c r="B106" s="35" t="s">
        <v>112</v>
      </c>
      <c r="L106" s="4">
        <v>1.0</v>
      </c>
      <c r="M106" s="4">
        <v>1.0</v>
      </c>
      <c r="U106" s="4">
        <v>1.0</v>
      </c>
    </row>
    <row r="107">
      <c r="A107" s="4"/>
      <c r="B107" s="35" t="s">
        <v>452</v>
      </c>
      <c r="C107" s="4">
        <v>1.0</v>
      </c>
      <c r="J107" s="4">
        <v>1.0</v>
      </c>
      <c r="U107" s="4"/>
    </row>
    <row r="108">
      <c r="A108" s="4"/>
      <c r="B108" s="35" t="s">
        <v>118</v>
      </c>
      <c r="U108" s="4">
        <v>3.0</v>
      </c>
    </row>
    <row r="109">
      <c r="A109" s="4"/>
      <c r="B109" s="35" t="s">
        <v>123</v>
      </c>
      <c r="M109" s="4">
        <v>1.0</v>
      </c>
    </row>
    <row r="110">
      <c r="A110" s="4"/>
      <c r="B110" s="35" t="s">
        <v>124</v>
      </c>
      <c r="M110" s="4">
        <v>3.0</v>
      </c>
    </row>
    <row r="111">
      <c r="A111" s="4"/>
      <c r="B111" s="35" t="s">
        <v>596</v>
      </c>
      <c r="C111" s="4">
        <v>1.0</v>
      </c>
      <c r="D111" s="4"/>
      <c r="H111" s="4">
        <v>1.0</v>
      </c>
      <c r="Q111" s="4">
        <v>1.0</v>
      </c>
    </row>
    <row r="112">
      <c r="A112" s="4" t="s">
        <v>57</v>
      </c>
      <c r="B112" s="35" t="s">
        <v>597</v>
      </c>
      <c r="D112" s="4">
        <v>1.0</v>
      </c>
    </row>
    <row r="113">
      <c r="A113" s="4" t="s">
        <v>57</v>
      </c>
      <c r="B113" s="35" t="s">
        <v>598</v>
      </c>
      <c r="D113" s="4">
        <v>63.0</v>
      </c>
      <c r="F113" s="4">
        <v>2.0</v>
      </c>
      <c r="K113" s="4">
        <v>3.0</v>
      </c>
      <c r="L113" s="4">
        <v>2.0</v>
      </c>
      <c r="N113" s="4">
        <v>22.0</v>
      </c>
      <c r="Q113" s="4">
        <v>1.0</v>
      </c>
      <c r="R113" s="4">
        <v>1.0</v>
      </c>
      <c r="W113" s="4">
        <v>5.0</v>
      </c>
      <c r="AG113" s="4">
        <v>1.0</v>
      </c>
    </row>
    <row r="114">
      <c r="A114" s="4" t="s">
        <v>57</v>
      </c>
      <c r="B114" s="35" t="s">
        <v>600</v>
      </c>
    </row>
    <row r="115">
      <c r="A115" s="4" t="s">
        <v>57</v>
      </c>
      <c r="B115" s="35" t="s">
        <v>601</v>
      </c>
    </row>
    <row r="116">
      <c r="A116" s="4" t="s">
        <v>1348</v>
      </c>
      <c r="B116" s="35" t="s">
        <v>1273</v>
      </c>
    </row>
    <row r="117">
      <c r="A117" s="4" t="s">
        <v>1348</v>
      </c>
      <c r="B117" s="35" t="s">
        <v>1275</v>
      </c>
      <c r="C117" s="4">
        <v>1.0</v>
      </c>
      <c r="P117" s="4">
        <v>21.0</v>
      </c>
      <c r="R117" s="4">
        <v>1.0</v>
      </c>
    </row>
    <row r="118">
      <c r="A118" s="4"/>
      <c r="B118" s="35" t="s">
        <v>1274</v>
      </c>
      <c r="C118" s="4"/>
      <c r="D118" s="4"/>
      <c r="H118" s="4"/>
      <c r="I118" s="4"/>
      <c r="L118" s="4"/>
      <c r="M118" s="4">
        <v>1.0</v>
      </c>
      <c r="AH118" s="4"/>
    </row>
    <row r="119">
      <c r="A119" s="4" t="s">
        <v>57</v>
      </c>
      <c r="B119" s="35" t="s">
        <v>602</v>
      </c>
      <c r="C119" s="4">
        <v>1.0</v>
      </c>
      <c r="D119" s="4">
        <v>1.0</v>
      </c>
      <c r="H119" s="4">
        <v>1.0</v>
      </c>
      <c r="I119" s="4">
        <v>1.0</v>
      </c>
      <c r="L119" s="4">
        <v>1.0</v>
      </c>
      <c r="AH119" s="4">
        <v>1.0</v>
      </c>
    </row>
    <row r="120">
      <c r="A120" s="4" t="s">
        <v>57</v>
      </c>
      <c r="B120" s="35" t="s">
        <v>1352</v>
      </c>
      <c r="F120" s="4">
        <v>1.0</v>
      </c>
      <c r="L120" s="4"/>
    </row>
    <row r="121">
      <c r="A121" s="4"/>
      <c r="B121" s="35" t="s">
        <v>1353</v>
      </c>
      <c r="F121" s="4">
        <v>1.0</v>
      </c>
    </row>
    <row r="122">
      <c r="A122" s="4"/>
      <c r="B122" s="35" t="s">
        <v>1354</v>
      </c>
      <c r="F122" s="4">
        <v>1.0</v>
      </c>
      <c r="L122" s="4"/>
    </row>
    <row r="123">
      <c r="A123" s="4"/>
      <c r="B123" s="35" t="s">
        <v>1355</v>
      </c>
      <c r="F123" s="4">
        <v>1.0</v>
      </c>
      <c r="L123" s="4">
        <v>1.0</v>
      </c>
    </row>
    <row r="124">
      <c r="A124" s="4" t="s">
        <v>57</v>
      </c>
      <c r="B124" s="35" t="s">
        <v>1356</v>
      </c>
      <c r="F124" s="4">
        <v>1.0</v>
      </c>
    </row>
    <row r="125">
      <c r="A125" s="4" t="s">
        <v>57</v>
      </c>
      <c r="B125" s="35" t="s">
        <v>1357</v>
      </c>
      <c r="F125" s="4">
        <v>2.0</v>
      </c>
    </row>
    <row r="126">
      <c r="A126" s="4"/>
      <c r="B126" s="35" t="s">
        <v>1358</v>
      </c>
      <c r="F126" s="4">
        <v>2.0</v>
      </c>
    </row>
    <row r="127">
      <c r="A127" s="4"/>
      <c r="B127" s="35" t="s">
        <v>1359</v>
      </c>
      <c r="F127" s="4"/>
      <c r="L127" s="4">
        <v>1.0</v>
      </c>
    </row>
    <row r="128">
      <c r="A128" s="4"/>
      <c r="B128" s="35" t="s">
        <v>1360</v>
      </c>
      <c r="F128" s="4">
        <v>1.0</v>
      </c>
    </row>
    <row r="129">
      <c r="A129" s="4"/>
      <c r="B129" s="35" t="s">
        <v>1361</v>
      </c>
      <c r="F129" s="4">
        <v>1.0</v>
      </c>
    </row>
    <row r="130">
      <c r="A130" s="4"/>
      <c r="B130" s="35" t="s">
        <v>74</v>
      </c>
      <c r="C130" s="4">
        <v>1.0</v>
      </c>
      <c r="H130" s="4">
        <v>1.0</v>
      </c>
      <c r="L130" s="4">
        <v>1.0</v>
      </c>
    </row>
    <row r="131">
      <c r="A131" s="4"/>
      <c r="B131" s="35" t="s">
        <v>75</v>
      </c>
      <c r="K131" s="4">
        <v>1.0</v>
      </c>
    </row>
    <row r="132">
      <c r="A132" s="4"/>
      <c r="B132" s="35" t="s">
        <v>76</v>
      </c>
      <c r="H132" s="4">
        <v>1.0</v>
      </c>
      <c r="K132" s="4"/>
      <c r="L132" s="4">
        <v>1.0</v>
      </c>
    </row>
    <row r="133">
      <c r="A133" s="4" t="s">
        <v>1349</v>
      </c>
      <c r="B133" s="35" t="s">
        <v>77</v>
      </c>
    </row>
    <row r="134">
      <c r="A134" s="4" t="s">
        <v>57</v>
      </c>
      <c r="B134" s="35" t="s">
        <v>822</v>
      </c>
    </row>
    <row r="135">
      <c r="A135" s="4" t="s">
        <v>57</v>
      </c>
      <c r="B135" s="35" t="s">
        <v>823</v>
      </c>
    </row>
    <row r="136">
      <c r="A136" s="4" t="s">
        <v>57</v>
      </c>
      <c r="B136" s="35" t="s">
        <v>453</v>
      </c>
      <c r="F136" s="4">
        <v>1.0</v>
      </c>
      <c r="K136" s="4">
        <v>1.0</v>
      </c>
      <c r="L136" s="4">
        <v>1.0</v>
      </c>
      <c r="AH136" s="4">
        <v>1.0</v>
      </c>
    </row>
    <row r="137">
      <c r="A137" s="4"/>
      <c r="B137" s="35" t="s">
        <v>454</v>
      </c>
      <c r="S137" s="4">
        <v>2.0</v>
      </c>
      <c r="AA137" s="4">
        <v>1.0</v>
      </c>
    </row>
    <row r="138">
      <c r="A138" s="4" t="s">
        <v>1349</v>
      </c>
      <c r="B138" s="35" t="s">
        <v>741</v>
      </c>
    </row>
    <row r="139">
      <c r="A139" s="4" t="s">
        <v>57</v>
      </c>
      <c r="B139" s="35" t="s">
        <v>603</v>
      </c>
    </row>
    <row r="140">
      <c r="A140" s="4" t="s">
        <v>57</v>
      </c>
      <c r="B140" s="35" t="s">
        <v>604</v>
      </c>
    </row>
    <row r="141">
      <c r="A141" s="4" t="s">
        <v>57</v>
      </c>
      <c r="B141" s="35" t="s">
        <v>606</v>
      </c>
    </row>
    <row r="142">
      <c r="A142" s="4" t="s">
        <v>57</v>
      </c>
      <c r="B142" s="35" t="s">
        <v>607</v>
      </c>
    </row>
    <row r="143">
      <c r="A143" s="4" t="s">
        <v>1348</v>
      </c>
      <c r="B143" s="35" t="s">
        <v>310</v>
      </c>
    </row>
    <row r="144">
      <c r="A144" s="4" t="s">
        <v>57</v>
      </c>
      <c r="B144" s="35" t="s">
        <v>608</v>
      </c>
    </row>
    <row r="145">
      <c r="A145" s="4" t="s">
        <v>57</v>
      </c>
      <c r="B145" s="35" t="s">
        <v>609</v>
      </c>
    </row>
    <row r="146">
      <c r="A146" s="4" t="s">
        <v>57</v>
      </c>
      <c r="B146" s="35" t="s">
        <v>883</v>
      </c>
    </row>
    <row r="147">
      <c r="A147" s="4"/>
      <c r="B147" s="35" t="s">
        <v>884</v>
      </c>
      <c r="E147" s="4">
        <v>1.0</v>
      </c>
    </row>
    <row r="148">
      <c r="A148" s="4" t="s">
        <v>57</v>
      </c>
      <c r="B148" s="35" t="s">
        <v>455</v>
      </c>
    </row>
    <row r="149">
      <c r="A149" s="4" t="s">
        <v>57</v>
      </c>
      <c r="B149" s="35" t="s">
        <v>456</v>
      </c>
    </row>
    <row r="150">
      <c r="A150" s="4"/>
      <c r="B150" s="35" t="s">
        <v>301</v>
      </c>
      <c r="E150" s="4">
        <v>1.0</v>
      </c>
      <c r="F150" s="4">
        <v>1.0</v>
      </c>
      <c r="L150" s="4">
        <v>1.0</v>
      </c>
    </row>
    <row r="151">
      <c r="A151" s="4" t="s">
        <v>57</v>
      </c>
      <c r="B151" s="35" t="s">
        <v>293</v>
      </c>
    </row>
    <row r="152">
      <c r="A152" s="4" t="s">
        <v>57</v>
      </c>
      <c r="B152" s="35" t="s">
        <v>294</v>
      </c>
    </row>
    <row r="153">
      <c r="A153" s="4" t="s">
        <v>57</v>
      </c>
      <c r="B153" s="35" t="s">
        <v>295</v>
      </c>
    </row>
    <row r="154">
      <c r="A154" s="4" t="s">
        <v>57</v>
      </c>
      <c r="B154" s="35" t="s">
        <v>296</v>
      </c>
      <c r="G154" s="4">
        <v>1.0</v>
      </c>
      <c r="I154" s="4">
        <v>1.0</v>
      </c>
      <c r="L154" s="4">
        <v>2.0</v>
      </c>
    </row>
    <row r="155">
      <c r="A155" s="4"/>
      <c r="B155" s="35" t="s">
        <v>297</v>
      </c>
      <c r="E155" s="4">
        <v>1.0</v>
      </c>
      <c r="F155" s="4">
        <v>1.0</v>
      </c>
      <c r="L155" s="4">
        <v>1.0</v>
      </c>
    </row>
    <row r="156">
      <c r="A156" s="4"/>
      <c r="B156" s="35" t="s">
        <v>298</v>
      </c>
      <c r="E156" s="4">
        <v>1.0</v>
      </c>
      <c r="L156" s="4">
        <v>1.0</v>
      </c>
    </row>
    <row r="157">
      <c r="A157" s="4" t="s">
        <v>57</v>
      </c>
      <c r="B157" s="35" t="s">
        <v>300</v>
      </c>
    </row>
    <row r="158">
      <c r="A158" s="4"/>
      <c r="B158" s="35" t="s">
        <v>129</v>
      </c>
      <c r="M158" s="4">
        <v>1.0</v>
      </c>
    </row>
    <row r="159">
      <c r="A159" s="4" t="s">
        <v>1348</v>
      </c>
      <c r="B159" s="35" t="s">
        <v>131</v>
      </c>
    </row>
    <row r="160">
      <c r="A160" s="4" t="s">
        <v>1348</v>
      </c>
      <c r="B160" s="35" t="s">
        <v>133</v>
      </c>
      <c r="M160" s="4">
        <v>1.0</v>
      </c>
    </row>
    <row r="161">
      <c r="A161" s="4"/>
      <c r="B161" s="35" t="s">
        <v>134</v>
      </c>
      <c r="V161" s="4">
        <v>1.0</v>
      </c>
    </row>
    <row r="162">
      <c r="A162" s="4"/>
      <c r="B162" s="35" t="s">
        <v>135</v>
      </c>
      <c r="V162" s="4">
        <v>1.0</v>
      </c>
    </row>
    <row r="163">
      <c r="A163" s="4" t="s">
        <v>57</v>
      </c>
      <c r="B163" s="35" t="s">
        <v>799</v>
      </c>
    </row>
    <row r="164">
      <c r="A164" s="4"/>
      <c r="B164" s="35" t="s">
        <v>827</v>
      </c>
      <c r="I164" s="4">
        <v>1.0</v>
      </c>
    </row>
    <row r="165">
      <c r="A165" s="4" t="s">
        <v>57</v>
      </c>
      <c r="B165" s="35" t="s">
        <v>828</v>
      </c>
    </row>
    <row r="166">
      <c r="A166" s="4" t="s">
        <v>57</v>
      </c>
      <c r="B166" s="35" t="s">
        <v>829</v>
      </c>
      <c r="I166" s="4">
        <v>1.0</v>
      </c>
    </row>
    <row r="167">
      <c r="A167" s="4" t="s">
        <v>57</v>
      </c>
      <c r="B167" s="35" t="s">
        <v>831</v>
      </c>
    </row>
    <row r="168">
      <c r="A168" s="4"/>
      <c r="B168" s="35" t="s">
        <v>147</v>
      </c>
      <c r="Z168" s="4">
        <v>1.0</v>
      </c>
    </row>
    <row r="169">
      <c r="A169" s="4" t="s">
        <v>57</v>
      </c>
      <c r="B169" s="35" t="s">
        <v>457</v>
      </c>
      <c r="F169" s="4">
        <v>1.0</v>
      </c>
      <c r="K169" s="4">
        <v>1.0</v>
      </c>
      <c r="L169" s="4">
        <v>1.0</v>
      </c>
      <c r="AH169" s="4">
        <v>1.0</v>
      </c>
    </row>
    <row r="170">
      <c r="A170" s="4" t="s">
        <v>57</v>
      </c>
      <c r="B170" s="35" t="s">
        <v>458</v>
      </c>
      <c r="C170" s="4">
        <v>1.0</v>
      </c>
      <c r="D170" s="4">
        <v>1.0</v>
      </c>
      <c r="E170" s="4">
        <v>2.0</v>
      </c>
      <c r="F170" s="4">
        <v>1.0</v>
      </c>
      <c r="H170" s="4">
        <v>1.0</v>
      </c>
      <c r="K170" s="4">
        <v>1.0</v>
      </c>
      <c r="L170" s="4">
        <v>1.0</v>
      </c>
    </row>
    <row r="171">
      <c r="A171" s="4"/>
      <c r="B171" s="35" t="s">
        <v>1276</v>
      </c>
      <c r="H171" s="4">
        <v>1.0</v>
      </c>
    </row>
    <row r="172">
      <c r="A172" s="4" t="s">
        <v>57</v>
      </c>
      <c r="B172" s="35" t="s">
        <v>459</v>
      </c>
      <c r="AF172" s="4">
        <v>1.0</v>
      </c>
    </row>
    <row r="173">
      <c r="A173" s="4"/>
      <c r="B173" s="35" t="s">
        <v>926</v>
      </c>
      <c r="C173" s="4">
        <v>1.0</v>
      </c>
      <c r="F173" s="4"/>
      <c r="AF173" s="4"/>
    </row>
    <row r="174">
      <c r="A174" s="4"/>
      <c r="B174" s="35" t="s">
        <v>1277</v>
      </c>
      <c r="F174" s="4"/>
      <c r="AF174" s="4">
        <v>1.0</v>
      </c>
    </row>
    <row r="175">
      <c r="A175" s="4" t="s">
        <v>57</v>
      </c>
      <c r="B175" s="35" t="s">
        <v>311</v>
      </c>
      <c r="F175" s="4">
        <v>1.0</v>
      </c>
    </row>
    <row r="176">
      <c r="A176" s="4"/>
      <c r="B176" s="35" t="s">
        <v>312</v>
      </c>
      <c r="F176" s="4">
        <v>1.0</v>
      </c>
    </row>
    <row r="177">
      <c r="A177" s="4"/>
      <c r="B177" s="35" t="s">
        <v>1362</v>
      </c>
      <c r="D177" s="4"/>
      <c r="F177" s="4">
        <v>1.0</v>
      </c>
    </row>
    <row r="178">
      <c r="A178" s="4" t="s">
        <v>57</v>
      </c>
      <c r="B178" s="35" t="s">
        <v>316</v>
      </c>
      <c r="D178" s="4">
        <v>1.0</v>
      </c>
      <c r="F178" s="4">
        <v>1.0</v>
      </c>
    </row>
    <row r="179">
      <c r="A179" s="4"/>
      <c r="B179" s="35" t="s">
        <v>1363</v>
      </c>
      <c r="F179" s="4">
        <v>1.0</v>
      </c>
    </row>
    <row r="180">
      <c r="A180" s="4" t="s">
        <v>57</v>
      </c>
      <c r="B180" s="35" t="s">
        <v>317</v>
      </c>
      <c r="F180" s="4">
        <v>1.0</v>
      </c>
    </row>
    <row r="181">
      <c r="A181" s="4"/>
      <c r="B181" s="35" t="s">
        <v>318</v>
      </c>
      <c r="F181" s="4">
        <v>1.0</v>
      </c>
    </row>
    <row r="182">
      <c r="A182" s="4" t="s">
        <v>1348</v>
      </c>
      <c r="B182" s="35" t="s">
        <v>460</v>
      </c>
    </row>
    <row r="183">
      <c r="A183" s="4" t="s">
        <v>1348</v>
      </c>
      <c r="B183" s="35" t="s">
        <v>149</v>
      </c>
    </row>
    <row r="184">
      <c r="A184" s="4"/>
      <c r="B184" s="35" t="s">
        <v>355</v>
      </c>
      <c r="E184" s="4">
        <v>1.0</v>
      </c>
      <c r="F184" s="4">
        <v>1.0</v>
      </c>
    </row>
    <row r="185">
      <c r="A185" s="4" t="s">
        <v>57</v>
      </c>
      <c r="B185" s="35" t="s">
        <v>357</v>
      </c>
      <c r="E185" s="4">
        <v>1.0</v>
      </c>
      <c r="F185" s="4">
        <v>2.0</v>
      </c>
    </row>
    <row r="186">
      <c r="A186" s="4" t="s">
        <v>1349</v>
      </c>
      <c r="B186" s="35" t="s">
        <v>360</v>
      </c>
    </row>
    <row r="187">
      <c r="A187" s="4"/>
      <c r="B187" s="35" t="s">
        <v>362</v>
      </c>
      <c r="E187" s="4">
        <v>1.0</v>
      </c>
      <c r="F187" s="4">
        <v>1.0</v>
      </c>
    </row>
    <row r="188">
      <c r="A188" s="4"/>
      <c r="B188" s="35" t="s">
        <v>1364</v>
      </c>
      <c r="E188" s="4"/>
      <c r="F188" s="4">
        <v>1.0</v>
      </c>
    </row>
    <row r="189">
      <c r="A189" s="4"/>
      <c r="B189" s="35" t="s">
        <v>365</v>
      </c>
      <c r="E189" s="4">
        <v>1.0</v>
      </c>
      <c r="F189" s="4">
        <v>1.0</v>
      </c>
    </row>
    <row r="190">
      <c r="A190" s="4" t="s">
        <v>1348</v>
      </c>
      <c r="B190" s="35" t="s">
        <v>154</v>
      </c>
    </row>
    <row r="191">
      <c r="A191" s="4" t="s">
        <v>1348</v>
      </c>
      <c r="B191" s="35" t="s">
        <v>157</v>
      </c>
    </row>
    <row r="192">
      <c r="A192" s="4"/>
      <c r="B192" s="35" t="s">
        <v>461</v>
      </c>
      <c r="C192" s="4">
        <v>1.0</v>
      </c>
      <c r="D192" s="4"/>
      <c r="F192" s="4"/>
      <c r="J192" s="4">
        <v>1.0</v>
      </c>
      <c r="L192" s="4">
        <v>1.0</v>
      </c>
      <c r="N192" s="4"/>
      <c r="AH192" s="4">
        <v>1.0</v>
      </c>
    </row>
    <row r="193">
      <c r="A193" s="4" t="s">
        <v>57</v>
      </c>
      <c r="B193" s="35" t="s">
        <v>462</v>
      </c>
      <c r="C193" s="4">
        <v>2.0</v>
      </c>
      <c r="D193" s="4">
        <v>10.0</v>
      </c>
      <c r="F193" s="4">
        <v>2.0</v>
      </c>
      <c r="H193" s="4">
        <v>1.0</v>
      </c>
      <c r="L193" s="4">
        <v>1.0</v>
      </c>
      <c r="N193" s="4">
        <v>1.0</v>
      </c>
      <c r="AH193" s="4">
        <v>1.0</v>
      </c>
    </row>
    <row r="194">
      <c r="A194" s="4" t="s">
        <v>57</v>
      </c>
      <c r="B194" s="35" t="s">
        <v>463</v>
      </c>
      <c r="D194" s="4"/>
    </row>
    <row r="195">
      <c r="A195" s="4" t="s">
        <v>57</v>
      </c>
      <c r="B195" s="35" t="s">
        <v>159</v>
      </c>
    </row>
    <row r="196">
      <c r="A196" s="4" t="s">
        <v>57</v>
      </c>
      <c r="B196" s="35" t="s">
        <v>611</v>
      </c>
      <c r="D196" s="4">
        <v>1.0</v>
      </c>
      <c r="E196" s="4">
        <v>1.0</v>
      </c>
    </row>
    <row r="197">
      <c r="A197" s="4" t="s">
        <v>57</v>
      </c>
      <c r="B197" s="35" t="s">
        <v>612</v>
      </c>
    </row>
    <row r="198">
      <c r="A198" s="4"/>
      <c r="B198" s="35" t="s">
        <v>613</v>
      </c>
      <c r="E198" s="4">
        <v>1.0</v>
      </c>
    </row>
    <row r="199">
      <c r="A199" s="4" t="s">
        <v>57</v>
      </c>
      <c r="B199" s="35" t="s">
        <v>614</v>
      </c>
    </row>
    <row r="200">
      <c r="A200" s="4" t="s">
        <v>57</v>
      </c>
      <c r="B200" s="35" t="s">
        <v>464</v>
      </c>
    </row>
    <row r="201">
      <c r="A201" s="4" t="s">
        <v>1348</v>
      </c>
      <c r="B201" s="35" t="s">
        <v>378</v>
      </c>
    </row>
    <row r="202">
      <c r="A202" s="4" t="s">
        <v>57</v>
      </c>
      <c r="B202" s="35" t="s">
        <v>615</v>
      </c>
    </row>
    <row r="203">
      <c r="A203" s="4"/>
      <c r="B203" s="35" t="s">
        <v>616</v>
      </c>
      <c r="E203" s="4"/>
      <c r="H203" s="4"/>
      <c r="L203" s="4">
        <v>1.0</v>
      </c>
      <c r="AH203" s="4">
        <v>1.0</v>
      </c>
    </row>
    <row r="204">
      <c r="A204" s="4"/>
      <c r="B204" s="35" t="s">
        <v>381</v>
      </c>
      <c r="E204" s="4">
        <v>1.0</v>
      </c>
      <c r="H204" s="4">
        <v>1.0</v>
      </c>
    </row>
    <row r="205">
      <c r="A205" s="4"/>
      <c r="B205" s="35" t="s">
        <v>382</v>
      </c>
      <c r="D205" s="4">
        <v>1.0</v>
      </c>
      <c r="E205" s="4">
        <v>1.0</v>
      </c>
      <c r="H205" s="4">
        <v>1.0</v>
      </c>
    </row>
    <row r="206">
      <c r="A206" s="4"/>
      <c r="B206" s="35" t="s">
        <v>383</v>
      </c>
      <c r="E206" s="4">
        <v>1.0</v>
      </c>
      <c r="H206" s="4">
        <v>1.0</v>
      </c>
    </row>
    <row r="207">
      <c r="A207" s="4" t="s">
        <v>57</v>
      </c>
      <c r="B207" s="35" t="s">
        <v>465</v>
      </c>
      <c r="D207" s="4">
        <v>1.0</v>
      </c>
      <c r="L207" s="4">
        <v>2.0</v>
      </c>
      <c r="N207" s="4">
        <v>1.0</v>
      </c>
      <c r="AH207" s="4">
        <v>1.0</v>
      </c>
    </row>
    <row r="208">
      <c r="A208" s="4"/>
      <c r="B208" s="35" t="s">
        <v>709</v>
      </c>
      <c r="C208" s="4"/>
      <c r="D208" s="4"/>
      <c r="E208" s="4"/>
      <c r="F208" s="4"/>
      <c r="H208" s="4"/>
      <c r="I208" s="4"/>
      <c r="K208" s="4"/>
      <c r="L208" s="4"/>
      <c r="U208" s="4"/>
      <c r="V208" s="4"/>
      <c r="AF208" s="4"/>
      <c r="AG208" s="4"/>
      <c r="AH208" s="4">
        <v>1.0</v>
      </c>
      <c r="AI208" s="4"/>
    </row>
    <row r="209">
      <c r="A209" s="4"/>
      <c r="B209" s="35" t="s">
        <v>710</v>
      </c>
      <c r="C209" s="4"/>
      <c r="D209" s="4"/>
      <c r="E209" s="4"/>
      <c r="F209" s="4"/>
      <c r="H209" s="4"/>
      <c r="I209" s="4"/>
      <c r="K209" s="4"/>
      <c r="L209" s="4"/>
      <c r="U209" s="4"/>
      <c r="V209" s="4"/>
      <c r="AF209" s="4"/>
      <c r="AG209" s="4"/>
      <c r="AH209" s="4">
        <v>1.0</v>
      </c>
      <c r="AI209" s="4"/>
    </row>
    <row r="210">
      <c r="A210" s="4"/>
      <c r="B210" s="35" t="s">
        <v>409</v>
      </c>
      <c r="C210" s="4"/>
      <c r="D210" s="4"/>
      <c r="E210" s="4"/>
      <c r="F210" s="4">
        <v>1.0</v>
      </c>
      <c r="H210" s="4"/>
      <c r="I210" s="4">
        <v>1.0</v>
      </c>
      <c r="K210" s="4"/>
      <c r="L210" s="4"/>
      <c r="U210" s="4"/>
      <c r="V210" s="4"/>
      <c r="AF210" s="4"/>
      <c r="AG210" s="4"/>
      <c r="AH210" s="4"/>
      <c r="AI210" s="4"/>
    </row>
    <row r="211">
      <c r="A211" s="4"/>
      <c r="B211" s="35" t="s">
        <v>466</v>
      </c>
      <c r="C211" s="4">
        <v>3.0</v>
      </c>
      <c r="D211" s="4">
        <v>3.0</v>
      </c>
      <c r="E211" s="4">
        <v>3.0</v>
      </c>
      <c r="F211" s="4">
        <v>2.0</v>
      </c>
      <c r="G211" s="4">
        <v>1.0</v>
      </c>
      <c r="H211" s="4">
        <v>3.0</v>
      </c>
      <c r="I211" s="4">
        <v>1.0</v>
      </c>
      <c r="J211" s="4">
        <v>1.0</v>
      </c>
      <c r="K211" s="4">
        <v>2.0</v>
      </c>
      <c r="L211" s="4">
        <v>4.0</v>
      </c>
      <c r="S211" s="4">
        <v>1.0</v>
      </c>
      <c r="U211" s="4">
        <v>1.0</v>
      </c>
      <c r="V211" s="4">
        <v>2.0</v>
      </c>
      <c r="Z211" s="4">
        <v>1.0</v>
      </c>
      <c r="AF211" s="4">
        <v>10.0</v>
      </c>
      <c r="AG211" s="4">
        <v>5.0</v>
      </c>
      <c r="AH211" s="4">
        <v>2.0</v>
      </c>
      <c r="AI211" s="4"/>
    </row>
    <row r="212">
      <c r="A212" s="4" t="s">
        <v>57</v>
      </c>
      <c r="B212" s="35" t="s">
        <v>467</v>
      </c>
      <c r="C212" s="4">
        <v>1.0</v>
      </c>
      <c r="I212" s="4">
        <v>1.0</v>
      </c>
      <c r="L212" s="4">
        <v>1.0</v>
      </c>
      <c r="R212" s="4">
        <v>1.0</v>
      </c>
      <c r="AH212" s="4">
        <v>1.0</v>
      </c>
    </row>
    <row r="213">
      <c r="A213" s="4" t="s">
        <v>57</v>
      </c>
      <c r="B213" s="35" t="s">
        <v>468</v>
      </c>
      <c r="C213" s="4">
        <v>1.0</v>
      </c>
      <c r="I213" s="4">
        <v>1.0</v>
      </c>
      <c r="L213" s="4">
        <v>1.0</v>
      </c>
      <c r="R213" s="4">
        <v>1.0</v>
      </c>
      <c r="AH213" s="4">
        <v>1.0</v>
      </c>
    </row>
    <row r="214">
      <c r="A214" s="4" t="s">
        <v>57</v>
      </c>
      <c r="B214" s="35" t="s">
        <v>469</v>
      </c>
      <c r="C214" s="4">
        <v>2.0</v>
      </c>
      <c r="I214" s="4">
        <v>1.0</v>
      </c>
      <c r="K214" s="4">
        <v>1.0</v>
      </c>
      <c r="L214" s="4">
        <v>2.0</v>
      </c>
      <c r="AH214" s="4">
        <v>1.0</v>
      </c>
    </row>
    <row r="215">
      <c r="A215" s="4" t="s">
        <v>1348</v>
      </c>
      <c r="B215" s="35" t="s">
        <v>1073</v>
      </c>
    </row>
    <row r="216">
      <c r="A216" s="4"/>
      <c r="B216" s="35" t="s">
        <v>178</v>
      </c>
      <c r="F216" s="4">
        <v>2.0</v>
      </c>
    </row>
    <row r="217">
      <c r="A217" s="4"/>
      <c r="B217" s="35" t="s">
        <v>177</v>
      </c>
      <c r="F217" s="4">
        <v>1.0</v>
      </c>
    </row>
    <row r="218">
      <c r="A218" s="4"/>
      <c r="B218" s="35" t="s">
        <v>179</v>
      </c>
      <c r="F218" s="4">
        <v>1.0</v>
      </c>
    </row>
    <row r="219">
      <c r="A219" s="4"/>
      <c r="B219" s="35" t="s">
        <v>183</v>
      </c>
      <c r="F219" s="4">
        <v>1.0</v>
      </c>
    </row>
    <row r="220">
      <c r="A220" s="4"/>
      <c r="B220" s="35" t="s">
        <v>182</v>
      </c>
      <c r="F220" s="4">
        <v>1.0</v>
      </c>
    </row>
    <row r="221">
      <c r="A221" s="4"/>
      <c r="B221" s="35" t="s">
        <v>180</v>
      </c>
      <c r="D221" s="4"/>
      <c r="F221" s="4">
        <v>1.0</v>
      </c>
    </row>
    <row r="222">
      <c r="A222" s="4"/>
      <c r="B222" s="35" t="s">
        <v>184</v>
      </c>
      <c r="F222" s="4">
        <v>1.0</v>
      </c>
    </row>
    <row r="223">
      <c r="A223" s="4"/>
      <c r="B223" s="35" t="s">
        <v>181</v>
      </c>
      <c r="F223" s="4">
        <v>1.0</v>
      </c>
    </row>
    <row r="224">
      <c r="A224" s="4"/>
      <c r="B224" s="35" t="s">
        <v>470</v>
      </c>
      <c r="C224" s="4">
        <v>2.0</v>
      </c>
      <c r="D224" s="4">
        <v>1.0</v>
      </c>
      <c r="E224" s="4">
        <v>1.0</v>
      </c>
      <c r="F224" s="4"/>
      <c r="H224" s="4">
        <v>2.0</v>
      </c>
      <c r="I224" s="4">
        <v>1.0</v>
      </c>
      <c r="L224" s="4">
        <v>2.0</v>
      </c>
      <c r="Q224" s="4">
        <v>1.0</v>
      </c>
      <c r="S224" s="4">
        <v>1.0</v>
      </c>
      <c r="V224" s="4">
        <v>1.0</v>
      </c>
      <c r="Y224" s="4">
        <v>1.0</v>
      </c>
      <c r="AD224" s="4">
        <v>1.0</v>
      </c>
      <c r="AF224" s="4">
        <v>1.0</v>
      </c>
    </row>
    <row r="225">
      <c r="A225" s="4"/>
      <c r="B225" s="35" t="s">
        <v>1365</v>
      </c>
      <c r="C225" s="4">
        <v>1.0</v>
      </c>
      <c r="E225" s="4">
        <v>1.0</v>
      </c>
      <c r="F225" s="4"/>
      <c r="H225" s="4">
        <v>1.0</v>
      </c>
      <c r="L225" s="4">
        <v>1.0</v>
      </c>
      <c r="AH225" s="4">
        <v>1.0</v>
      </c>
    </row>
    <row r="226">
      <c r="A226" s="4"/>
      <c r="B226" s="35" t="s">
        <v>190</v>
      </c>
      <c r="F226" s="4">
        <v>1.0</v>
      </c>
    </row>
    <row r="227">
      <c r="A227" s="4"/>
      <c r="B227" s="35" t="s">
        <v>189</v>
      </c>
      <c r="F227" s="4">
        <v>1.0</v>
      </c>
    </row>
    <row r="228">
      <c r="A228" s="4" t="s">
        <v>57</v>
      </c>
      <c r="B228" s="35" t="s">
        <v>928</v>
      </c>
    </row>
    <row r="229">
      <c r="A229" s="4" t="s">
        <v>57</v>
      </c>
      <c r="B229" s="35" t="s">
        <v>472</v>
      </c>
      <c r="C229" s="4">
        <v>10.0</v>
      </c>
      <c r="D229" s="4">
        <v>3.0</v>
      </c>
      <c r="E229" s="4">
        <v>4.0</v>
      </c>
      <c r="F229" s="4">
        <v>3.0</v>
      </c>
      <c r="G229" s="4">
        <v>1.0</v>
      </c>
      <c r="H229" s="4">
        <v>2.0</v>
      </c>
      <c r="J229" s="4">
        <v>1.0</v>
      </c>
      <c r="K229" s="4">
        <v>1.0</v>
      </c>
      <c r="L229" s="4">
        <v>3.0</v>
      </c>
      <c r="Q229" s="4">
        <v>1.0</v>
      </c>
      <c r="R229" s="4">
        <v>1.0</v>
      </c>
      <c r="S229" s="4">
        <v>2.0</v>
      </c>
      <c r="U229" s="4">
        <v>1.0</v>
      </c>
      <c r="V229" s="4">
        <v>1.0</v>
      </c>
      <c r="X229" s="4">
        <v>1.0</v>
      </c>
      <c r="Y229" s="4">
        <v>1.0</v>
      </c>
      <c r="Z229" s="4">
        <v>1.0</v>
      </c>
      <c r="AF229" s="4">
        <v>1.0</v>
      </c>
      <c r="AG229" s="4">
        <v>1.0</v>
      </c>
    </row>
    <row r="230">
      <c r="A230" s="4" t="s">
        <v>1348</v>
      </c>
      <c r="B230" s="35" t="s">
        <v>236</v>
      </c>
    </row>
    <row r="231">
      <c r="A231" s="4"/>
      <c r="B231" s="35" t="s">
        <v>302</v>
      </c>
      <c r="E231" s="4">
        <v>1.0</v>
      </c>
      <c r="L231" s="4">
        <v>1.0</v>
      </c>
    </row>
    <row r="232">
      <c r="A232" s="4" t="s">
        <v>57</v>
      </c>
      <c r="B232" s="35" t="s">
        <v>617</v>
      </c>
    </row>
    <row r="233">
      <c r="A233" s="4" t="s">
        <v>57</v>
      </c>
      <c r="B233" s="35" t="s">
        <v>619</v>
      </c>
    </row>
    <row r="234">
      <c r="A234" s="4" t="s">
        <v>1348</v>
      </c>
      <c r="B234" s="35" t="s">
        <v>473</v>
      </c>
    </row>
    <row r="235">
      <c r="A235" s="4"/>
      <c r="B235" s="35" t="s">
        <v>474</v>
      </c>
      <c r="L235" s="4">
        <v>1.0</v>
      </c>
    </row>
    <row r="236">
      <c r="A236" s="4"/>
      <c r="B236" s="35" t="s">
        <v>475</v>
      </c>
      <c r="K236" s="4">
        <v>1.0</v>
      </c>
    </row>
    <row r="237">
      <c r="A237" s="4"/>
      <c r="B237" s="35" t="s">
        <v>1366</v>
      </c>
      <c r="C237" s="4">
        <v>1.0</v>
      </c>
      <c r="L237" s="4">
        <v>16.0</v>
      </c>
    </row>
    <row r="238">
      <c r="A238" s="4" t="s">
        <v>57</v>
      </c>
      <c r="B238" s="35" t="s">
        <v>624</v>
      </c>
    </row>
    <row r="239">
      <c r="A239" s="4" t="s">
        <v>57</v>
      </c>
      <c r="B239" s="35" t="s">
        <v>477</v>
      </c>
    </row>
    <row r="240">
      <c r="A240" s="4" t="s">
        <v>57</v>
      </c>
      <c r="B240" s="35" t="s">
        <v>479</v>
      </c>
      <c r="H240" s="4">
        <v>1.0</v>
      </c>
      <c r="AF240" s="4">
        <v>1.0</v>
      </c>
    </row>
    <row r="241">
      <c r="A241" s="4" t="s">
        <v>57</v>
      </c>
      <c r="B241" s="35" t="s">
        <v>80</v>
      </c>
    </row>
    <row r="242">
      <c r="A242" s="4"/>
      <c r="B242" s="35" t="s">
        <v>83</v>
      </c>
      <c r="L242" s="4">
        <v>1.0</v>
      </c>
    </row>
    <row r="243">
      <c r="A243" s="4"/>
      <c r="B243" s="35" t="s">
        <v>81</v>
      </c>
      <c r="L243" s="4">
        <v>1.0</v>
      </c>
    </row>
    <row r="244">
      <c r="A244" s="4" t="s">
        <v>57</v>
      </c>
      <c r="B244" s="35" t="s">
        <v>84</v>
      </c>
    </row>
    <row r="245">
      <c r="A245" s="4" t="s">
        <v>57</v>
      </c>
      <c r="B245" s="35" t="s">
        <v>85</v>
      </c>
      <c r="L245" s="4">
        <v>1.0</v>
      </c>
    </row>
    <row r="246">
      <c r="A246" s="4" t="s">
        <v>57</v>
      </c>
      <c r="B246" s="35" t="s">
        <v>86</v>
      </c>
    </row>
    <row r="247">
      <c r="A247" s="4"/>
      <c r="B247" s="35" t="s">
        <v>87</v>
      </c>
      <c r="L247" s="4">
        <v>1.0</v>
      </c>
    </row>
    <row r="248">
      <c r="A248" s="4" t="s">
        <v>57</v>
      </c>
      <c r="B248" s="35" t="s">
        <v>88</v>
      </c>
    </row>
    <row r="249">
      <c r="A249" s="4"/>
      <c r="B249" s="35" t="s">
        <v>625</v>
      </c>
      <c r="C249" s="4">
        <v>1.0</v>
      </c>
      <c r="F249" s="4">
        <v>1.0</v>
      </c>
      <c r="H249" s="4">
        <v>1.0</v>
      </c>
      <c r="K249" s="4">
        <v>1.0</v>
      </c>
      <c r="U249" s="4">
        <v>1.0</v>
      </c>
    </row>
    <row r="250">
      <c r="A250" s="4" t="s">
        <v>57</v>
      </c>
      <c r="B250" s="35" t="s">
        <v>480</v>
      </c>
    </row>
    <row r="251">
      <c r="A251" s="4" t="s">
        <v>57</v>
      </c>
      <c r="B251" s="35" t="s">
        <v>626</v>
      </c>
    </row>
    <row r="252">
      <c r="A252" s="4" t="s">
        <v>57</v>
      </c>
      <c r="B252" s="35" t="s">
        <v>689</v>
      </c>
    </row>
    <row r="253">
      <c r="A253" s="4" t="s">
        <v>57</v>
      </c>
      <c r="B253" s="35" t="s">
        <v>690</v>
      </c>
    </row>
    <row r="254">
      <c r="A254" s="4" t="s">
        <v>57</v>
      </c>
      <c r="B254" s="35" t="s">
        <v>691</v>
      </c>
    </row>
    <row r="255">
      <c r="A255" s="4" t="s">
        <v>57</v>
      </c>
      <c r="B255" s="35" t="s">
        <v>692</v>
      </c>
    </row>
    <row r="256">
      <c r="A256" s="4" t="s">
        <v>57</v>
      </c>
      <c r="B256" s="35" t="s">
        <v>696</v>
      </c>
    </row>
    <row r="257">
      <c r="A257" s="4" t="s">
        <v>57</v>
      </c>
      <c r="B257" s="35" t="s">
        <v>481</v>
      </c>
    </row>
    <row r="258">
      <c r="A258" s="4" t="s">
        <v>1349</v>
      </c>
      <c r="B258" s="35" t="s">
        <v>628</v>
      </c>
    </row>
    <row r="259">
      <c r="A259" s="4" t="s">
        <v>57</v>
      </c>
      <c r="B259" s="35" t="s">
        <v>629</v>
      </c>
      <c r="D259" s="4">
        <v>9.0</v>
      </c>
      <c r="F259" s="4">
        <v>1.0</v>
      </c>
      <c r="N259" s="4">
        <v>1.0</v>
      </c>
    </row>
    <row r="260">
      <c r="A260" s="4"/>
      <c r="B260" s="35" t="s">
        <v>915</v>
      </c>
      <c r="H260" s="4">
        <v>1.0</v>
      </c>
    </row>
    <row r="261">
      <c r="A261" s="4"/>
      <c r="B261" s="35" t="s">
        <v>916</v>
      </c>
      <c r="H261" s="4">
        <v>1.0</v>
      </c>
    </row>
    <row r="262">
      <c r="A262" s="4" t="s">
        <v>57</v>
      </c>
      <c r="B262" s="35" t="s">
        <v>630</v>
      </c>
      <c r="C262" s="4">
        <v>1.0</v>
      </c>
      <c r="H262" s="4">
        <v>1.0</v>
      </c>
      <c r="Q262" s="4">
        <v>1.0</v>
      </c>
    </row>
    <row r="263">
      <c r="A263" s="4"/>
      <c r="B263" s="35" t="s">
        <v>482</v>
      </c>
      <c r="E263" s="4">
        <v>1.0</v>
      </c>
      <c r="S263" s="4">
        <v>1.0</v>
      </c>
      <c r="Z263" s="4">
        <v>1.0</v>
      </c>
    </row>
    <row r="264">
      <c r="A264" s="4" t="s">
        <v>57</v>
      </c>
      <c r="B264" s="35" t="s">
        <v>631</v>
      </c>
    </row>
    <row r="265">
      <c r="A265" s="4"/>
      <c r="B265" s="35" t="s">
        <v>698</v>
      </c>
      <c r="C265" s="4">
        <v>1.0</v>
      </c>
      <c r="E265" s="4">
        <v>1.0</v>
      </c>
      <c r="H265" s="4">
        <v>1.0</v>
      </c>
    </row>
    <row r="266">
      <c r="A266" s="4"/>
      <c r="B266" s="35" t="s">
        <v>699</v>
      </c>
      <c r="C266" s="4"/>
      <c r="E266" s="4"/>
      <c r="H266" s="4"/>
      <c r="L266" s="4">
        <v>1.0</v>
      </c>
      <c r="AH266" s="4">
        <v>1.0</v>
      </c>
    </row>
    <row r="267">
      <c r="A267" s="4"/>
      <c r="B267" s="35" t="s">
        <v>702</v>
      </c>
      <c r="C267" s="4">
        <v>1.0</v>
      </c>
      <c r="E267" s="4">
        <v>1.0</v>
      </c>
      <c r="H267" s="4">
        <v>1.0</v>
      </c>
    </row>
    <row r="268">
      <c r="A268" s="4"/>
      <c r="B268" s="35" t="s">
        <v>703</v>
      </c>
      <c r="C268" s="4"/>
      <c r="E268" s="4"/>
      <c r="H268" s="4"/>
      <c r="L268" s="4">
        <v>1.0</v>
      </c>
      <c r="AH268" s="4">
        <v>1.0</v>
      </c>
    </row>
    <row r="269">
      <c r="A269" s="4"/>
      <c r="B269" s="35" t="s">
        <v>701</v>
      </c>
      <c r="C269" s="4"/>
      <c r="E269" s="4"/>
      <c r="H269" s="4"/>
      <c r="L269" s="4">
        <v>1.0</v>
      </c>
      <c r="AH269" s="4">
        <v>1.0</v>
      </c>
    </row>
    <row r="270">
      <c r="A270" s="4"/>
      <c r="B270" s="35" t="s">
        <v>705</v>
      </c>
      <c r="C270" s="4">
        <v>1.0</v>
      </c>
      <c r="E270" s="4">
        <v>1.0</v>
      </c>
      <c r="H270" s="4">
        <v>1.0</v>
      </c>
    </row>
    <row r="271">
      <c r="A271" s="4" t="s">
        <v>57</v>
      </c>
      <c r="B271" s="35" t="s">
        <v>929</v>
      </c>
    </row>
    <row r="272">
      <c r="A272" s="4" t="s">
        <v>57</v>
      </c>
      <c r="B272" s="35" t="s">
        <v>483</v>
      </c>
      <c r="L272" s="4">
        <v>1.0</v>
      </c>
    </row>
    <row r="273">
      <c r="A273" s="4" t="s">
        <v>1348</v>
      </c>
      <c r="B273" s="35" t="s">
        <v>219</v>
      </c>
    </row>
    <row r="274">
      <c r="A274" s="4" t="s">
        <v>1348</v>
      </c>
      <c r="B274" s="35" t="s">
        <v>220</v>
      </c>
    </row>
    <row r="275">
      <c r="A275" s="4" t="s">
        <v>1348</v>
      </c>
      <c r="B275" s="35" t="s">
        <v>221</v>
      </c>
    </row>
    <row r="276">
      <c r="A276" s="4" t="s">
        <v>1348</v>
      </c>
      <c r="B276" s="35" t="s">
        <v>222</v>
      </c>
    </row>
    <row r="277">
      <c r="A277" s="4"/>
      <c r="B277" s="35" t="s">
        <v>632</v>
      </c>
      <c r="C277" s="4">
        <v>1.0</v>
      </c>
      <c r="E277" s="4">
        <v>1.0</v>
      </c>
      <c r="H277" s="4">
        <v>1.0</v>
      </c>
      <c r="L277" s="4">
        <v>1.0</v>
      </c>
      <c r="R277" s="4">
        <v>1.0</v>
      </c>
    </row>
    <row r="278">
      <c r="A278" s="4"/>
      <c r="B278" s="35" t="s">
        <v>711</v>
      </c>
      <c r="AH278" s="4">
        <v>1.0</v>
      </c>
    </row>
    <row r="279">
      <c r="A279" s="4" t="s">
        <v>1348</v>
      </c>
      <c r="B279" s="35" t="s">
        <v>712</v>
      </c>
    </row>
    <row r="280">
      <c r="A280" s="4"/>
      <c r="B280" s="35" t="s">
        <v>714</v>
      </c>
      <c r="AH280" s="4">
        <v>1.0</v>
      </c>
    </row>
    <row r="281">
      <c r="A281" s="4" t="s">
        <v>57</v>
      </c>
      <c r="B281" s="35" t="s">
        <v>715</v>
      </c>
    </row>
    <row r="282">
      <c r="A282" s="4" t="s">
        <v>57</v>
      </c>
      <c r="B282" s="35" t="s">
        <v>716</v>
      </c>
      <c r="AH282" s="4">
        <v>1.0</v>
      </c>
    </row>
    <row r="283">
      <c r="A283" s="4" t="s">
        <v>1348</v>
      </c>
      <c r="B283" s="35" t="s">
        <v>717</v>
      </c>
    </row>
    <row r="284">
      <c r="A284" s="4"/>
      <c r="B284" s="35" t="s">
        <v>718</v>
      </c>
      <c r="AH284" s="4">
        <v>1.0</v>
      </c>
    </row>
    <row r="285">
      <c r="A285" s="4" t="s">
        <v>57</v>
      </c>
      <c r="B285" s="35" t="s">
        <v>719</v>
      </c>
    </row>
    <row r="286">
      <c r="A286" s="4" t="s">
        <v>57</v>
      </c>
      <c r="B286" s="35" t="s">
        <v>720</v>
      </c>
      <c r="AH286" s="4">
        <v>1.0</v>
      </c>
    </row>
    <row r="287">
      <c r="A287" s="4"/>
      <c r="B287" s="35" t="s">
        <v>721</v>
      </c>
      <c r="AH287" s="4">
        <v>1.0</v>
      </c>
    </row>
    <row r="288">
      <c r="A288" s="4" t="s">
        <v>57</v>
      </c>
      <c r="B288" s="35" t="s">
        <v>833</v>
      </c>
    </row>
    <row r="289">
      <c r="A289" s="4" t="s">
        <v>57</v>
      </c>
      <c r="B289" s="35" t="s">
        <v>834</v>
      </c>
    </row>
    <row r="290">
      <c r="A290" s="4" t="s">
        <v>57</v>
      </c>
      <c r="B290" s="35" t="s">
        <v>633</v>
      </c>
      <c r="E290" s="4">
        <v>1.0</v>
      </c>
      <c r="R290" s="4">
        <v>2.0</v>
      </c>
    </row>
    <row r="291">
      <c r="A291" s="4"/>
      <c r="B291" s="35" t="s">
        <v>634</v>
      </c>
      <c r="I291" s="4">
        <v>1.0</v>
      </c>
      <c r="L291" s="4">
        <v>1.0</v>
      </c>
    </row>
    <row r="292">
      <c r="A292" s="4" t="s">
        <v>57</v>
      </c>
      <c r="B292" s="35" t="s">
        <v>636</v>
      </c>
    </row>
    <row r="293">
      <c r="A293" s="4"/>
      <c r="B293" s="35" t="s">
        <v>635</v>
      </c>
      <c r="G293" s="4"/>
      <c r="L293" s="4">
        <v>1.0</v>
      </c>
    </row>
    <row r="294">
      <c r="A294" s="4"/>
      <c r="B294" s="35" t="s">
        <v>305</v>
      </c>
      <c r="G294" s="4">
        <v>1.0</v>
      </c>
    </row>
    <row r="295">
      <c r="A295" s="4"/>
      <c r="B295" s="35" t="s">
        <v>304</v>
      </c>
      <c r="E295" s="4">
        <v>1.0</v>
      </c>
      <c r="F295" s="4">
        <v>1.0</v>
      </c>
      <c r="I295" s="4">
        <v>1.0</v>
      </c>
      <c r="L295" s="4">
        <v>1.0</v>
      </c>
    </row>
    <row r="296">
      <c r="A296" s="4"/>
      <c r="B296" s="35" t="s">
        <v>306</v>
      </c>
      <c r="E296" s="4">
        <v>1.0</v>
      </c>
      <c r="F296" s="4">
        <v>1.0</v>
      </c>
      <c r="I296" s="4">
        <v>1.0</v>
      </c>
    </row>
    <row r="297">
      <c r="A297" s="4"/>
      <c r="B297" s="35" t="s">
        <v>303</v>
      </c>
      <c r="E297" s="4">
        <v>1.0</v>
      </c>
      <c r="F297" s="4">
        <v>1.0</v>
      </c>
      <c r="I297" s="4">
        <v>1.0</v>
      </c>
      <c r="L297" s="4">
        <v>1.0</v>
      </c>
    </row>
    <row r="298">
      <c r="A298" s="4" t="s">
        <v>57</v>
      </c>
      <c r="B298" s="35" t="s">
        <v>723</v>
      </c>
    </row>
    <row r="299">
      <c r="A299" s="4" t="s">
        <v>57</v>
      </c>
      <c r="B299" s="35" t="s">
        <v>724</v>
      </c>
    </row>
    <row r="300">
      <c r="A300" s="4"/>
      <c r="B300" s="35" t="s">
        <v>637</v>
      </c>
      <c r="L300" s="4">
        <v>1.0</v>
      </c>
      <c r="AH300" s="4">
        <v>1.0</v>
      </c>
    </row>
    <row r="301">
      <c r="A301" s="4"/>
      <c r="B301" s="35" t="s">
        <v>638</v>
      </c>
      <c r="L301" s="4">
        <v>1.0</v>
      </c>
    </row>
    <row r="302">
      <c r="A302" s="4" t="s">
        <v>57</v>
      </c>
      <c r="B302" s="35" t="s">
        <v>485</v>
      </c>
    </row>
    <row r="303">
      <c r="A303" s="4" t="s">
        <v>57</v>
      </c>
      <c r="B303" s="35" t="s">
        <v>486</v>
      </c>
      <c r="C303" s="4">
        <v>7.0</v>
      </c>
      <c r="F303" s="4">
        <v>1.0</v>
      </c>
      <c r="H303" s="4">
        <v>1.0</v>
      </c>
      <c r="I303" s="4">
        <v>1.0</v>
      </c>
      <c r="L303" s="4">
        <v>1.0</v>
      </c>
      <c r="V303" s="4">
        <v>1.0</v>
      </c>
      <c r="X303" s="4">
        <v>2.0</v>
      </c>
    </row>
    <row r="304">
      <c r="A304" s="4" t="s">
        <v>1348</v>
      </c>
      <c r="B304" s="35" t="s">
        <v>639</v>
      </c>
      <c r="V304" s="4">
        <v>4.0</v>
      </c>
    </row>
    <row r="305">
      <c r="A305" s="4" t="s">
        <v>1348</v>
      </c>
      <c r="B305" s="35" t="s">
        <v>930</v>
      </c>
    </row>
    <row r="306">
      <c r="A306" s="4" t="s">
        <v>1348</v>
      </c>
      <c r="B306" s="35" t="s">
        <v>640</v>
      </c>
    </row>
    <row r="307">
      <c r="A307" s="4" t="s">
        <v>1349</v>
      </c>
      <c r="B307" s="35" t="s">
        <v>489</v>
      </c>
    </row>
    <row r="308">
      <c r="A308" s="4" t="s">
        <v>57</v>
      </c>
      <c r="B308" s="35" t="s">
        <v>490</v>
      </c>
      <c r="I308" s="4">
        <v>6.0</v>
      </c>
      <c r="L308" s="4">
        <v>4.0</v>
      </c>
    </row>
    <row r="309">
      <c r="A309" s="4" t="s">
        <v>57</v>
      </c>
      <c r="B309" s="35" t="s">
        <v>491</v>
      </c>
      <c r="I309" s="4">
        <v>1.0</v>
      </c>
      <c r="L309" s="4">
        <v>5.0</v>
      </c>
      <c r="AH309" s="4">
        <v>3.0</v>
      </c>
    </row>
    <row r="310">
      <c r="A310" s="4" t="s">
        <v>57</v>
      </c>
      <c r="B310" s="35" t="s">
        <v>492</v>
      </c>
      <c r="G310" s="4">
        <v>1.0</v>
      </c>
      <c r="H310" s="4">
        <v>1.0</v>
      </c>
      <c r="L310" s="4">
        <v>1.0</v>
      </c>
      <c r="Z310" s="4">
        <v>1.0</v>
      </c>
      <c r="AH310" s="4">
        <v>1.0</v>
      </c>
    </row>
    <row r="311">
      <c r="A311" s="4" t="s">
        <v>57</v>
      </c>
      <c r="B311" s="35" t="s">
        <v>493</v>
      </c>
    </row>
    <row r="312">
      <c r="A312" s="4" t="s">
        <v>1348</v>
      </c>
      <c r="B312" s="35" t="s">
        <v>932</v>
      </c>
    </row>
    <row r="313">
      <c r="A313" s="4" t="s">
        <v>57</v>
      </c>
      <c r="B313" s="35" t="s">
        <v>643</v>
      </c>
      <c r="D313" s="4">
        <v>1.0</v>
      </c>
      <c r="N313" s="4">
        <v>1.0</v>
      </c>
    </row>
    <row r="314">
      <c r="A314" s="4"/>
      <c r="B314" s="35" t="s">
        <v>339</v>
      </c>
      <c r="C314" s="4"/>
      <c r="D314" s="4"/>
      <c r="E314" s="4"/>
      <c r="F314" s="4">
        <v>1.0</v>
      </c>
      <c r="G314" s="4"/>
      <c r="H314" s="4"/>
      <c r="J314" s="4"/>
      <c r="K314" s="4"/>
      <c r="L314" s="4"/>
      <c r="N314" s="4"/>
      <c r="Q314" s="4"/>
      <c r="U314" s="4"/>
      <c r="Z314" s="4"/>
    </row>
    <row r="315">
      <c r="A315" s="4"/>
      <c r="B315" s="35" t="s">
        <v>340</v>
      </c>
      <c r="C315" s="4"/>
      <c r="D315" s="4"/>
      <c r="E315" s="4"/>
      <c r="F315" s="4">
        <v>1.0</v>
      </c>
      <c r="G315" s="4"/>
      <c r="H315" s="4"/>
      <c r="J315" s="4"/>
      <c r="K315" s="4"/>
      <c r="L315" s="4"/>
      <c r="N315" s="4"/>
      <c r="Q315" s="4"/>
      <c r="U315" s="4"/>
      <c r="Z315" s="4"/>
    </row>
    <row r="316">
      <c r="A316" s="4"/>
      <c r="B316" s="35" t="s">
        <v>341</v>
      </c>
      <c r="C316" s="4"/>
      <c r="D316" s="4"/>
      <c r="E316" s="4"/>
      <c r="F316" s="4">
        <v>1.0</v>
      </c>
      <c r="G316" s="4"/>
      <c r="H316" s="4"/>
      <c r="J316" s="4"/>
      <c r="K316" s="4"/>
      <c r="L316" s="4"/>
      <c r="N316" s="4"/>
      <c r="Q316" s="4"/>
      <c r="U316" s="4"/>
      <c r="Z316" s="4"/>
    </row>
    <row r="317">
      <c r="A317" s="4"/>
      <c r="B317" s="35" t="s">
        <v>342</v>
      </c>
      <c r="C317" s="4"/>
      <c r="D317" s="4"/>
      <c r="E317" s="4"/>
      <c r="F317" s="4">
        <v>1.0</v>
      </c>
      <c r="G317" s="4"/>
      <c r="H317" s="4"/>
      <c r="J317" s="4"/>
      <c r="K317" s="4"/>
      <c r="L317" s="4"/>
      <c r="N317" s="4"/>
      <c r="Q317" s="4"/>
      <c r="U317" s="4"/>
      <c r="Z317" s="4"/>
    </row>
    <row r="318">
      <c r="A318" s="4"/>
      <c r="B318" s="35" t="s">
        <v>343</v>
      </c>
      <c r="C318" s="4"/>
      <c r="D318" s="4"/>
      <c r="E318" s="4"/>
      <c r="F318" s="4">
        <v>1.0</v>
      </c>
      <c r="G318" s="4"/>
      <c r="H318" s="4"/>
      <c r="J318" s="4"/>
      <c r="K318" s="4"/>
      <c r="L318" s="4"/>
      <c r="N318" s="4"/>
      <c r="Q318" s="4"/>
      <c r="U318" s="4"/>
      <c r="Z318" s="4"/>
    </row>
    <row r="319">
      <c r="A319" s="4" t="s">
        <v>1349</v>
      </c>
      <c r="B319" s="35" t="s">
        <v>1367</v>
      </c>
      <c r="C319" s="4">
        <v>1.0</v>
      </c>
      <c r="D319" s="4">
        <v>2.0</v>
      </c>
      <c r="E319" s="4">
        <v>1.0</v>
      </c>
      <c r="F319" s="4">
        <v>1.0</v>
      </c>
      <c r="G319" s="4">
        <v>1.0</v>
      </c>
      <c r="H319" s="4">
        <v>1.0</v>
      </c>
      <c r="J319" s="4">
        <v>1.0</v>
      </c>
      <c r="K319" s="4">
        <v>1.0</v>
      </c>
      <c r="L319" s="4">
        <v>1.0</v>
      </c>
      <c r="N319" s="4">
        <v>1.0</v>
      </c>
      <c r="Q319" s="4">
        <v>1.0</v>
      </c>
      <c r="U319" s="4">
        <v>1.0</v>
      </c>
      <c r="Z319" s="4">
        <v>1.0</v>
      </c>
    </row>
    <row r="320">
      <c r="A320" s="4" t="s">
        <v>57</v>
      </c>
      <c r="B320" s="35" t="s">
        <v>1368</v>
      </c>
    </row>
    <row r="321">
      <c r="A321" s="4" t="s">
        <v>57</v>
      </c>
      <c r="B321" s="35" t="s">
        <v>494</v>
      </c>
      <c r="L321" s="4">
        <v>1.0</v>
      </c>
      <c r="AH321" s="4">
        <v>1.0</v>
      </c>
    </row>
    <row r="322">
      <c r="A322" s="4" t="s">
        <v>57</v>
      </c>
      <c r="B322" s="35" t="s">
        <v>495</v>
      </c>
      <c r="H322" s="4">
        <v>1.0</v>
      </c>
      <c r="I322" s="4">
        <v>3.0</v>
      </c>
      <c r="L322" s="4">
        <v>2.0</v>
      </c>
      <c r="V322" s="4">
        <v>1.0</v>
      </c>
      <c r="AH322" s="4">
        <v>1.0</v>
      </c>
    </row>
    <row r="323">
      <c r="A323" s="4" t="s">
        <v>1348</v>
      </c>
      <c r="B323" s="35" t="s">
        <v>237</v>
      </c>
    </row>
    <row r="324">
      <c r="A324" s="4" t="s">
        <v>57</v>
      </c>
      <c r="B324" s="35" t="s">
        <v>496</v>
      </c>
      <c r="C324" s="4">
        <v>1.0</v>
      </c>
      <c r="D324" s="4">
        <v>2.0</v>
      </c>
      <c r="E324" s="4">
        <v>1.0</v>
      </c>
      <c r="J324" s="4">
        <v>2.0</v>
      </c>
      <c r="Y324" s="4">
        <v>1.0</v>
      </c>
      <c r="AB324" s="4">
        <v>1.0</v>
      </c>
      <c r="AC324" s="4">
        <v>2.0</v>
      </c>
      <c r="AD324" s="4"/>
      <c r="AE324" s="4">
        <v>1.0</v>
      </c>
    </row>
    <row r="325">
      <c r="A325" s="4" t="s">
        <v>57</v>
      </c>
      <c r="B325" s="35" t="s">
        <v>647</v>
      </c>
      <c r="C325" s="4">
        <v>1.0</v>
      </c>
      <c r="D325" s="4"/>
      <c r="I325" s="4">
        <v>1.0</v>
      </c>
    </row>
    <row r="326">
      <c r="A326" s="4" t="s">
        <v>1348</v>
      </c>
      <c r="B326" s="35" t="s">
        <v>1061</v>
      </c>
    </row>
    <row r="327">
      <c r="A327" s="4" t="s">
        <v>1349</v>
      </c>
      <c r="B327" s="35" t="s">
        <v>894</v>
      </c>
    </row>
    <row r="328">
      <c r="A328" s="4" t="s">
        <v>1348</v>
      </c>
      <c r="B328" s="35" t="s">
        <v>935</v>
      </c>
    </row>
    <row r="329">
      <c r="A329" s="4" t="s">
        <v>1348</v>
      </c>
      <c r="B329" s="35" t="s">
        <v>936</v>
      </c>
    </row>
    <row r="330">
      <c r="A330" s="4" t="s">
        <v>57</v>
      </c>
      <c r="B330" s="35" t="s">
        <v>649</v>
      </c>
    </row>
    <row r="331">
      <c r="A331" s="4" t="s">
        <v>57</v>
      </c>
      <c r="B331" s="35" t="s">
        <v>1015</v>
      </c>
    </row>
    <row r="332">
      <c r="A332" s="4" t="s">
        <v>57</v>
      </c>
      <c r="B332" s="35" t="s">
        <v>1016</v>
      </c>
    </row>
    <row r="333">
      <c r="A333" s="4" t="s">
        <v>57</v>
      </c>
      <c r="B333" s="35" t="s">
        <v>1017</v>
      </c>
    </row>
    <row r="334">
      <c r="A334" s="4" t="s">
        <v>57</v>
      </c>
      <c r="B334" s="35" t="s">
        <v>1018</v>
      </c>
    </row>
    <row r="335">
      <c r="A335" s="4" t="s">
        <v>57</v>
      </c>
      <c r="B335" s="35" t="s">
        <v>1019</v>
      </c>
    </row>
    <row r="336">
      <c r="A336" s="4"/>
      <c r="B336" s="35" t="s">
        <v>824</v>
      </c>
      <c r="E336" s="4">
        <v>1.0</v>
      </c>
      <c r="F336" s="4"/>
    </row>
    <row r="337">
      <c r="A337" s="4" t="s">
        <v>57</v>
      </c>
      <c r="B337" s="35" t="s">
        <v>650</v>
      </c>
      <c r="E337" s="4">
        <v>1.0</v>
      </c>
      <c r="F337" s="4">
        <v>1.0</v>
      </c>
    </row>
    <row r="338">
      <c r="A338" s="4"/>
      <c r="B338" s="35" t="s">
        <v>651</v>
      </c>
      <c r="C338" s="4"/>
      <c r="D338" s="4"/>
      <c r="E338" s="4"/>
      <c r="F338" s="4"/>
      <c r="G338" s="4"/>
      <c r="H338" s="4"/>
      <c r="I338" s="4"/>
      <c r="J338" s="4"/>
      <c r="K338" s="4"/>
      <c r="L338" s="4"/>
      <c r="AH338" s="4">
        <v>1.0</v>
      </c>
    </row>
    <row r="339">
      <c r="A339" s="4"/>
      <c r="B339" s="35" t="s">
        <v>652</v>
      </c>
      <c r="C339" s="4">
        <v>1.0</v>
      </c>
      <c r="D339" s="4"/>
      <c r="E339" s="4"/>
      <c r="F339" s="4"/>
      <c r="G339" s="4"/>
      <c r="H339" s="4">
        <v>1.0</v>
      </c>
      <c r="I339" s="4"/>
      <c r="J339" s="4"/>
      <c r="K339" s="4"/>
      <c r="L339" s="4">
        <v>1.0</v>
      </c>
    </row>
    <row r="340">
      <c r="A340" s="4"/>
      <c r="B340" s="35" t="s">
        <v>653</v>
      </c>
      <c r="D340" s="4"/>
      <c r="E340" s="4"/>
      <c r="F340" s="4">
        <v>1.0</v>
      </c>
      <c r="G340" s="4"/>
      <c r="H340" s="4"/>
      <c r="I340" s="4"/>
      <c r="J340" s="4"/>
      <c r="K340" s="4"/>
      <c r="L340" s="4"/>
    </row>
    <row r="341">
      <c r="A341" s="4" t="s">
        <v>57</v>
      </c>
      <c r="B341" s="35" t="s">
        <v>497</v>
      </c>
      <c r="D341" s="4">
        <v>1.0</v>
      </c>
      <c r="E341" s="4">
        <v>1.0</v>
      </c>
      <c r="F341" s="4">
        <v>1.0</v>
      </c>
      <c r="G341" s="4">
        <v>1.0</v>
      </c>
      <c r="H341" s="4">
        <v>1.0</v>
      </c>
      <c r="I341" s="4">
        <v>1.0</v>
      </c>
      <c r="J341" s="4">
        <v>1.0</v>
      </c>
      <c r="K341" s="4">
        <v>2.0</v>
      </c>
      <c r="L341" s="4">
        <v>1.0</v>
      </c>
    </row>
    <row r="342">
      <c r="A342" s="4"/>
      <c r="B342" s="35" t="s">
        <v>162</v>
      </c>
      <c r="F342" s="4">
        <v>1.0</v>
      </c>
    </row>
    <row r="343">
      <c r="A343" s="4"/>
      <c r="B343" s="35" t="s">
        <v>163</v>
      </c>
      <c r="F343" s="4">
        <v>1.0</v>
      </c>
    </row>
    <row r="344">
      <c r="A344" s="4"/>
      <c r="B344" s="35" t="s">
        <v>166</v>
      </c>
      <c r="F344" s="4">
        <v>1.0</v>
      </c>
      <c r="H344" s="4"/>
      <c r="I344" s="4"/>
      <c r="L344" s="4"/>
      <c r="AH344" s="4"/>
    </row>
    <row r="345">
      <c r="A345" s="4"/>
      <c r="B345" s="35" t="s">
        <v>167</v>
      </c>
      <c r="F345" s="4">
        <v>1.0</v>
      </c>
      <c r="H345" s="4"/>
      <c r="I345" s="4"/>
      <c r="L345" s="4"/>
      <c r="AH345" s="4"/>
    </row>
    <row r="346">
      <c r="A346" s="4"/>
      <c r="B346" s="35" t="s">
        <v>171</v>
      </c>
      <c r="F346" s="4">
        <v>2.0</v>
      </c>
      <c r="H346" s="4"/>
      <c r="I346" s="4"/>
      <c r="L346" s="4"/>
      <c r="AH346" s="4"/>
    </row>
    <row r="347">
      <c r="A347" s="4"/>
      <c r="B347" s="35" t="s">
        <v>169</v>
      </c>
      <c r="F347" s="4">
        <v>1.0</v>
      </c>
    </row>
    <row r="348">
      <c r="A348" s="4"/>
      <c r="B348" s="35" t="s">
        <v>170</v>
      </c>
      <c r="F348" s="4">
        <v>1.0</v>
      </c>
    </row>
    <row r="349">
      <c r="A349" s="4"/>
      <c r="B349" s="35" t="s">
        <v>172</v>
      </c>
      <c r="F349" s="4">
        <v>2.0</v>
      </c>
    </row>
    <row r="350">
      <c r="A350" s="4"/>
      <c r="B350" s="35" t="s">
        <v>174</v>
      </c>
      <c r="F350" s="4">
        <v>1.0</v>
      </c>
    </row>
    <row r="351">
      <c r="A351" s="4"/>
      <c r="B351" s="35" t="s">
        <v>173</v>
      </c>
      <c r="F351" s="4">
        <v>2.0</v>
      </c>
    </row>
    <row r="352">
      <c r="A352" s="4"/>
      <c r="B352" s="35" t="s">
        <v>175</v>
      </c>
      <c r="F352" s="4">
        <v>1.0</v>
      </c>
    </row>
    <row r="353">
      <c r="A353" s="4"/>
      <c r="B353" s="35" t="s">
        <v>176</v>
      </c>
      <c r="F353" s="4">
        <v>2.0</v>
      </c>
    </row>
    <row r="354">
      <c r="A354" s="4"/>
      <c r="B354" s="35" t="s">
        <v>168</v>
      </c>
      <c r="F354" s="4">
        <v>1.0</v>
      </c>
      <c r="H354" s="4"/>
      <c r="I354" s="4"/>
      <c r="L354" s="4"/>
      <c r="AH354" s="4"/>
    </row>
    <row r="355">
      <c r="A355" s="4"/>
      <c r="B355" s="35" t="s">
        <v>164</v>
      </c>
      <c r="F355" s="4">
        <v>1.0</v>
      </c>
      <c r="H355" s="4"/>
      <c r="I355" s="4"/>
      <c r="K355" s="4"/>
      <c r="L355" s="4"/>
      <c r="AH355" s="4"/>
    </row>
    <row r="356">
      <c r="A356" s="4"/>
      <c r="B356" s="35" t="s">
        <v>165</v>
      </c>
      <c r="F356" s="4">
        <v>1.0</v>
      </c>
      <c r="H356" s="4"/>
      <c r="I356" s="4"/>
      <c r="K356" s="4"/>
      <c r="L356" s="4"/>
      <c r="AH356" s="4"/>
    </row>
    <row r="357">
      <c r="A357" s="4" t="s">
        <v>57</v>
      </c>
      <c r="B357" s="35" t="s">
        <v>654</v>
      </c>
      <c r="H357" s="4">
        <v>1.0</v>
      </c>
      <c r="I357" s="4">
        <v>1.0</v>
      </c>
      <c r="K357" s="4">
        <v>1.0</v>
      </c>
      <c r="L357" s="4">
        <v>3.0</v>
      </c>
      <c r="AH357" s="4">
        <v>3.0</v>
      </c>
    </row>
    <row r="358">
      <c r="A358" s="4"/>
      <c r="B358" s="35" t="s">
        <v>655</v>
      </c>
      <c r="D358" s="4">
        <v>1.0</v>
      </c>
    </row>
    <row r="359">
      <c r="A359" s="4" t="s">
        <v>57</v>
      </c>
      <c r="B359" s="35" t="s">
        <v>738</v>
      </c>
    </row>
    <row r="360">
      <c r="A360" s="4" t="s">
        <v>57</v>
      </c>
      <c r="B360" s="35" t="s">
        <v>739</v>
      </c>
    </row>
    <row r="361">
      <c r="A361" s="4" t="s">
        <v>1348</v>
      </c>
      <c r="B361" s="35" t="s">
        <v>742</v>
      </c>
    </row>
    <row r="362">
      <c r="A362" s="4" t="s">
        <v>57</v>
      </c>
      <c r="B362" s="35" t="s">
        <v>743</v>
      </c>
    </row>
    <row r="363">
      <c r="A363" s="4" t="s">
        <v>57</v>
      </c>
      <c r="B363" s="35" t="s">
        <v>746</v>
      </c>
      <c r="N363" s="4">
        <v>1.0</v>
      </c>
    </row>
    <row r="364">
      <c r="A364" s="4" t="s">
        <v>57</v>
      </c>
      <c r="B364" s="35" t="s">
        <v>747</v>
      </c>
      <c r="K364" s="4">
        <v>1.0</v>
      </c>
      <c r="AG364" s="4">
        <v>1.0</v>
      </c>
      <c r="AI364" s="4">
        <v>1.0</v>
      </c>
    </row>
    <row r="365">
      <c r="A365" s="4"/>
      <c r="B365" s="35" t="s">
        <v>1369</v>
      </c>
      <c r="D365" s="4">
        <v>1.0</v>
      </c>
      <c r="Z365" s="4"/>
    </row>
    <row r="366">
      <c r="A366" s="4"/>
      <c r="B366" s="35" t="s">
        <v>750</v>
      </c>
      <c r="K366" s="4">
        <v>1.0</v>
      </c>
      <c r="Z366" s="4"/>
      <c r="AG366" s="4">
        <v>1.0</v>
      </c>
      <c r="AI366" s="4">
        <v>1.0</v>
      </c>
    </row>
    <row r="367">
      <c r="A367" s="4"/>
      <c r="B367" s="35" t="s">
        <v>751</v>
      </c>
      <c r="K367" s="4">
        <v>1.0</v>
      </c>
      <c r="Z367" s="4"/>
      <c r="AG367" s="4">
        <v>1.0</v>
      </c>
      <c r="AI367" s="4">
        <v>1.0</v>
      </c>
    </row>
    <row r="368">
      <c r="A368" s="4" t="s">
        <v>57</v>
      </c>
      <c r="B368" s="35" t="s">
        <v>498</v>
      </c>
      <c r="L368" s="4">
        <v>1.0</v>
      </c>
      <c r="N368" s="4">
        <v>1.0</v>
      </c>
      <c r="Z368" s="4">
        <v>3.0</v>
      </c>
      <c r="AH368" s="4">
        <v>1.0</v>
      </c>
    </row>
    <row r="369">
      <c r="A369" s="4" t="s">
        <v>57</v>
      </c>
      <c r="B369" s="35" t="s">
        <v>499</v>
      </c>
      <c r="D369" s="4">
        <v>1.0</v>
      </c>
      <c r="N369" s="4">
        <v>2.0</v>
      </c>
      <c r="Z369" s="4">
        <v>2.0</v>
      </c>
    </row>
    <row r="370">
      <c r="A370" s="4" t="s">
        <v>57</v>
      </c>
      <c r="B370" s="35" t="s">
        <v>500</v>
      </c>
      <c r="D370" s="4">
        <v>1.0</v>
      </c>
      <c r="G370" s="4">
        <v>1.0</v>
      </c>
      <c r="L370" s="4">
        <v>1.0</v>
      </c>
      <c r="N370" s="4">
        <v>1.0</v>
      </c>
      <c r="U370" s="4">
        <v>1.0</v>
      </c>
      <c r="Z370" s="4">
        <v>3.0</v>
      </c>
    </row>
    <row r="371">
      <c r="A371" s="4" t="s">
        <v>57</v>
      </c>
      <c r="B371" s="35" t="s">
        <v>501</v>
      </c>
      <c r="Z371" s="4">
        <v>1.0</v>
      </c>
    </row>
    <row r="372">
      <c r="A372" s="4"/>
      <c r="B372" s="35" t="s">
        <v>783</v>
      </c>
      <c r="Q372" s="4">
        <v>1.0</v>
      </c>
      <c r="W372" s="4">
        <v>1.0</v>
      </c>
    </row>
    <row r="373">
      <c r="A373" s="4" t="s">
        <v>1348</v>
      </c>
      <c r="B373" s="35" t="s">
        <v>503</v>
      </c>
    </row>
    <row r="374">
      <c r="A374" s="4" t="s">
        <v>1348</v>
      </c>
      <c r="B374" s="35" t="s">
        <v>320</v>
      </c>
    </row>
    <row r="375">
      <c r="A375" s="4" t="s">
        <v>57</v>
      </c>
      <c r="B375" s="35" t="s">
        <v>321</v>
      </c>
    </row>
    <row r="376">
      <c r="A376" s="4" t="s">
        <v>57</v>
      </c>
      <c r="B376" s="35" t="s">
        <v>656</v>
      </c>
      <c r="D376" s="4">
        <v>1.0</v>
      </c>
      <c r="L376" s="4">
        <v>1.0</v>
      </c>
    </row>
    <row r="377">
      <c r="A377" s="4" t="s">
        <v>57</v>
      </c>
      <c r="B377" s="35" t="s">
        <v>504</v>
      </c>
      <c r="C377" s="4">
        <v>2.0</v>
      </c>
      <c r="E377" s="4">
        <v>1.0</v>
      </c>
      <c r="F377" s="4">
        <v>1.0</v>
      </c>
      <c r="I377" s="4">
        <v>1.0</v>
      </c>
      <c r="K377" s="4">
        <v>3.0</v>
      </c>
      <c r="L377" s="4">
        <v>3.0</v>
      </c>
      <c r="AH377" s="4">
        <v>1.0</v>
      </c>
    </row>
    <row r="378">
      <c r="A378" s="4" t="s">
        <v>57</v>
      </c>
      <c r="B378" s="35" t="s">
        <v>505</v>
      </c>
      <c r="E378" s="4">
        <v>1.0</v>
      </c>
      <c r="F378" s="4">
        <v>1.0</v>
      </c>
      <c r="I378" s="4">
        <v>1.0</v>
      </c>
      <c r="K378" s="4">
        <v>2.0</v>
      </c>
      <c r="L378" s="4">
        <v>1.0</v>
      </c>
      <c r="U378" s="4">
        <v>1.0</v>
      </c>
      <c r="AH378" s="4">
        <v>2.0</v>
      </c>
    </row>
    <row r="379">
      <c r="A379" s="4" t="s">
        <v>57</v>
      </c>
      <c r="B379" s="35" t="s">
        <v>506</v>
      </c>
      <c r="D379" s="4">
        <v>1.0</v>
      </c>
      <c r="E379" s="4">
        <v>1.0</v>
      </c>
      <c r="K379" s="4">
        <v>1.0</v>
      </c>
      <c r="L379" s="4">
        <v>2.0</v>
      </c>
      <c r="Q379" s="4">
        <v>1.0</v>
      </c>
      <c r="V379" s="4">
        <v>1.0</v>
      </c>
      <c r="Z379" s="4">
        <v>1.0</v>
      </c>
    </row>
    <row r="380">
      <c r="A380" s="4" t="s">
        <v>57</v>
      </c>
      <c r="B380" s="35" t="s">
        <v>1370</v>
      </c>
    </row>
    <row r="381">
      <c r="A381" s="4"/>
      <c r="B381" s="35" t="s">
        <v>658</v>
      </c>
      <c r="C381" s="4">
        <v>1.0</v>
      </c>
      <c r="F381" s="4">
        <v>1.0</v>
      </c>
      <c r="H381" s="4">
        <v>1.0</v>
      </c>
      <c r="L381" s="4">
        <v>1.0</v>
      </c>
      <c r="AF381" s="4">
        <v>1.0</v>
      </c>
    </row>
    <row r="382">
      <c r="A382" s="4" t="s">
        <v>57</v>
      </c>
      <c r="B382" s="35" t="s">
        <v>1371</v>
      </c>
    </row>
    <row r="383">
      <c r="A383" s="4" t="s">
        <v>57</v>
      </c>
      <c r="B383" s="35" t="s">
        <v>661</v>
      </c>
    </row>
    <row r="384">
      <c r="A384" s="4"/>
      <c r="B384" s="35" t="s">
        <v>820</v>
      </c>
      <c r="F384" s="4"/>
      <c r="H384" s="4"/>
      <c r="L384" s="4">
        <v>1.0</v>
      </c>
      <c r="U384" s="4"/>
      <c r="AF384" s="4"/>
    </row>
    <row r="385">
      <c r="A385" s="4" t="s">
        <v>57</v>
      </c>
      <c r="B385" s="35" t="s">
        <v>507</v>
      </c>
      <c r="F385" s="4">
        <v>1.0</v>
      </c>
      <c r="H385" s="4">
        <v>1.0</v>
      </c>
      <c r="L385" s="4">
        <v>1.0</v>
      </c>
      <c r="U385" s="4">
        <v>1.0</v>
      </c>
      <c r="AF385" s="4">
        <v>1.0</v>
      </c>
    </row>
    <row r="386">
      <c r="A386" s="4" t="s">
        <v>57</v>
      </c>
      <c r="B386" s="35" t="s">
        <v>663</v>
      </c>
    </row>
    <row r="387">
      <c r="A387" s="4" t="s">
        <v>1348</v>
      </c>
      <c r="B387" s="35" t="s">
        <v>384</v>
      </c>
    </row>
    <row r="388">
      <c r="A388" s="4"/>
      <c r="B388" s="35" t="s">
        <v>385</v>
      </c>
      <c r="K388" s="4">
        <v>1.0</v>
      </c>
      <c r="L388" s="4">
        <v>1.0</v>
      </c>
      <c r="AH388" s="4">
        <v>1.0</v>
      </c>
    </row>
    <row r="389">
      <c r="A389" s="4"/>
      <c r="B389" s="35" t="s">
        <v>386</v>
      </c>
      <c r="N389" s="4">
        <v>1.0</v>
      </c>
    </row>
    <row r="390">
      <c r="A390" s="4"/>
      <c r="B390" s="35" t="s">
        <v>388</v>
      </c>
      <c r="L390" s="4">
        <v>1.0</v>
      </c>
      <c r="AG390" s="4"/>
      <c r="AH390" s="4">
        <v>1.0</v>
      </c>
    </row>
    <row r="391">
      <c r="A391" s="4" t="s">
        <v>57</v>
      </c>
      <c r="B391" s="35" t="s">
        <v>389</v>
      </c>
    </row>
    <row r="392">
      <c r="A392" s="4"/>
      <c r="B392" s="35" t="s">
        <v>391</v>
      </c>
      <c r="AG392" s="4">
        <v>1.0</v>
      </c>
    </row>
    <row r="393">
      <c r="A393" s="4" t="s">
        <v>1348</v>
      </c>
      <c r="B393" s="35" t="s">
        <v>392</v>
      </c>
    </row>
    <row r="394">
      <c r="A394" s="4"/>
      <c r="B394" s="35" t="s">
        <v>394</v>
      </c>
      <c r="J394" s="4">
        <v>3.0</v>
      </c>
    </row>
    <row r="395">
      <c r="A395" s="4"/>
      <c r="B395" s="35" t="s">
        <v>395</v>
      </c>
      <c r="E395" s="4">
        <v>1.0</v>
      </c>
    </row>
    <row r="396">
      <c r="A396" s="4"/>
      <c r="B396" s="35" t="s">
        <v>396</v>
      </c>
      <c r="E396" s="4">
        <v>1.0</v>
      </c>
    </row>
    <row r="397">
      <c r="A397" s="4"/>
      <c r="B397" s="35" t="s">
        <v>397</v>
      </c>
      <c r="AG397" s="4">
        <v>1.0</v>
      </c>
    </row>
    <row r="398">
      <c r="A398" s="4"/>
      <c r="B398" s="35" t="s">
        <v>399</v>
      </c>
      <c r="L398" s="4">
        <v>1.0</v>
      </c>
      <c r="AH398" s="4">
        <v>1.0</v>
      </c>
    </row>
    <row r="399">
      <c r="A399" s="4"/>
      <c r="B399" s="35" t="s">
        <v>401</v>
      </c>
      <c r="L399" s="4">
        <v>3.0</v>
      </c>
      <c r="AH399" s="4"/>
    </row>
    <row r="400">
      <c r="A400" s="4"/>
      <c r="B400" s="35" t="s">
        <v>402</v>
      </c>
      <c r="L400" s="4">
        <v>1.0</v>
      </c>
      <c r="AH400" s="4"/>
    </row>
    <row r="401">
      <c r="A401" s="4" t="s">
        <v>1348</v>
      </c>
      <c r="B401" s="35" t="s">
        <v>404</v>
      </c>
      <c r="L401" s="4">
        <v>1.0</v>
      </c>
      <c r="AH401" s="4">
        <v>1.0</v>
      </c>
    </row>
    <row r="402">
      <c r="A402" s="4" t="s">
        <v>1348</v>
      </c>
      <c r="B402" s="35" t="s">
        <v>405</v>
      </c>
    </row>
    <row r="403">
      <c r="A403" s="4" t="s">
        <v>1348</v>
      </c>
      <c r="B403" s="35" t="s">
        <v>406</v>
      </c>
    </row>
    <row r="404">
      <c r="A404" s="4" t="s">
        <v>57</v>
      </c>
      <c r="B404" s="35" t="s">
        <v>1279</v>
      </c>
    </row>
    <row r="405">
      <c r="A405" s="4" t="s">
        <v>57</v>
      </c>
      <c r="B405" s="35" t="s">
        <v>1280</v>
      </c>
      <c r="K405" s="4">
        <v>1.0</v>
      </c>
      <c r="N405" s="4">
        <v>1.0</v>
      </c>
    </row>
    <row r="406">
      <c r="A406" s="4" t="s">
        <v>1349</v>
      </c>
      <c r="B406" s="35" t="s">
        <v>1281</v>
      </c>
    </row>
    <row r="407">
      <c r="A407" s="4"/>
      <c r="B407" s="35" t="s">
        <v>1282</v>
      </c>
      <c r="D407" s="4"/>
      <c r="H407" s="4">
        <v>1.0</v>
      </c>
    </row>
    <row r="408">
      <c r="A408" s="4" t="s">
        <v>57</v>
      </c>
      <c r="B408" s="35" t="s">
        <v>1283</v>
      </c>
      <c r="D408" s="4">
        <v>1.0</v>
      </c>
    </row>
    <row r="409">
      <c r="A409" s="4" t="s">
        <v>57</v>
      </c>
      <c r="B409" s="35" t="s">
        <v>1285</v>
      </c>
    </row>
    <row r="410">
      <c r="A410" s="4"/>
      <c r="B410" s="35" t="s">
        <v>1286</v>
      </c>
      <c r="L410" s="4">
        <v>1.0</v>
      </c>
    </row>
    <row r="411">
      <c r="A411" s="4"/>
      <c r="B411" s="35" t="s">
        <v>1287</v>
      </c>
      <c r="D411" s="4"/>
      <c r="F411" s="4">
        <v>1.0</v>
      </c>
      <c r="H411" s="4">
        <v>1.0</v>
      </c>
    </row>
    <row r="412">
      <c r="A412" s="4" t="s">
        <v>57</v>
      </c>
      <c r="B412" s="35" t="s">
        <v>1288</v>
      </c>
    </row>
    <row r="413">
      <c r="A413" s="4" t="s">
        <v>57</v>
      </c>
      <c r="B413" s="35" t="s">
        <v>1289</v>
      </c>
    </row>
    <row r="414">
      <c r="A414" s="4"/>
      <c r="B414" s="35" t="s">
        <v>1290</v>
      </c>
      <c r="D414" s="4">
        <v>1.0</v>
      </c>
      <c r="K414" s="4">
        <v>1.0</v>
      </c>
    </row>
    <row r="415">
      <c r="A415" s="4" t="s">
        <v>57</v>
      </c>
      <c r="B415" s="35" t="s">
        <v>1291</v>
      </c>
    </row>
    <row r="416">
      <c r="A416" s="4" t="s">
        <v>57</v>
      </c>
      <c r="B416" s="35" t="s">
        <v>1292</v>
      </c>
    </row>
    <row r="417">
      <c r="A417" s="4" t="s">
        <v>1348</v>
      </c>
      <c r="B417" s="35" t="s">
        <v>1025</v>
      </c>
      <c r="M417" s="4">
        <v>1.0</v>
      </c>
    </row>
    <row r="418">
      <c r="A418" s="4"/>
      <c r="B418" s="35" t="s">
        <v>1036</v>
      </c>
      <c r="K418" s="4">
        <v>1.0</v>
      </c>
    </row>
    <row r="419">
      <c r="A419" s="4" t="s">
        <v>1348</v>
      </c>
      <c r="B419" s="35" t="s">
        <v>1026</v>
      </c>
    </row>
    <row r="420">
      <c r="A420" s="4" t="s">
        <v>1348</v>
      </c>
      <c r="B420" s="35" t="s">
        <v>1027</v>
      </c>
    </row>
    <row r="421">
      <c r="A421" s="4" t="s">
        <v>1348</v>
      </c>
      <c r="B421" s="35" t="s">
        <v>1028</v>
      </c>
      <c r="M421" s="4">
        <v>1.0</v>
      </c>
    </row>
    <row r="422">
      <c r="A422" s="4" t="s">
        <v>1348</v>
      </c>
      <c r="B422" s="35" t="s">
        <v>1029</v>
      </c>
    </row>
    <row r="423">
      <c r="A423" s="4" t="s">
        <v>1348</v>
      </c>
      <c r="B423" s="35" t="s">
        <v>1030</v>
      </c>
      <c r="K423" s="4"/>
      <c r="M423" s="4">
        <v>2.0</v>
      </c>
    </row>
    <row r="424">
      <c r="A424" s="4" t="s">
        <v>1348</v>
      </c>
      <c r="B424" s="35" t="s">
        <v>1031</v>
      </c>
    </row>
    <row r="425">
      <c r="A425" s="4"/>
      <c r="B425" s="35" t="s">
        <v>1032</v>
      </c>
      <c r="E425" s="4">
        <v>2.0</v>
      </c>
    </row>
    <row r="426">
      <c r="A426" s="4" t="s">
        <v>1348</v>
      </c>
      <c r="B426" s="35" t="s">
        <v>1034</v>
      </c>
    </row>
    <row r="427">
      <c r="A427" s="4"/>
      <c r="B427" s="35" t="s">
        <v>1035</v>
      </c>
      <c r="M427" s="4">
        <v>1.0</v>
      </c>
    </row>
    <row r="428">
      <c r="A428" s="4" t="s">
        <v>1348</v>
      </c>
      <c r="B428" s="35" t="s">
        <v>1039</v>
      </c>
    </row>
    <row r="429">
      <c r="A429" s="4"/>
      <c r="B429" s="35" t="s">
        <v>666</v>
      </c>
      <c r="G429" s="4">
        <v>4.0</v>
      </c>
    </row>
    <row r="430">
      <c r="A430" s="4"/>
      <c r="B430" s="35" t="s">
        <v>268</v>
      </c>
      <c r="E430" s="4">
        <v>1.0</v>
      </c>
      <c r="I430" s="4">
        <v>1.0</v>
      </c>
      <c r="L430" s="4">
        <v>1.0</v>
      </c>
    </row>
    <row r="431">
      <c r="A431" s="4"/>
      <c r="B431" s="35" t="s">
        <v>667</v>
      </c>
      <c r="F431" s="4">
        <v>1.0</v>
      </c>
      <c r="G431" s="4">
        <v>1.0</v>
      </c>
      <c r="L431" s="4">
        <v>1.0</v>
      </c>
      <c r="AH431" s="4">
        <v>1.0</v>
      </c>
    </row>
    <row r="432">
      <c r="A432" s="4" t="s">
        <v>57</v>
      </c>
      <c r="B432" s="35" t="s">
        <v>367</v>
      </c>
    </row>
    <row r="433">
      <c r="A433" s="4" t="s">
        <v>57</v>
      </c>
      <c r="B433" s="35" t="s">
        <v>368</v>
      </c>
    </row>
    <row r="434">
      <c r="A434" s="4" t="s">
        <v>57</v>
      </c>
      <c r="B434" s="35" t="s">
        <v>369</v>
      </c>
    </row>
    <row r="435">
      <c r="A435" s="4" t="s">
        <v>57</v>
      </c>
      <c r="B435" s="35" t="s">
        <v>370</v>
      </c>
    </row>
    <row r="436">
      <c r="A436" s="4" t="s">
        <v>57</v>
      </c>
      <c r="B436" s="35" t="s">
        <v>371</v>
      </c>
    </row>
    <row r="437">
      <c r="A437" s="4" t="s">
        <v>57</v>
      </c>
      <c r="B437" s="35" t="s">
        <v>372</v>
      </c>
    </row>
    <row r="438">
      <c r="A438" s="4" t="s">
        <v>57</v>
      </c>
      <c r="B438" s="35" t="s">
        <v>373</v>
      </c>
    </row>
    <row r="439">
      <c r="A439" s="4" t="s">
        <v>57</v>
      </c>
      <c r="B439" s="35" t="s">
        <v>374</v>
      </c>
    </row>
    <row r="440">
      <c r="A440" s="4" t="s">
        <v>57</v>
      </c>
      <c r="B440" s="35" t="s">
        <v>375</v>
      </c>
    </row>
    <row r="441">
      <c r="A441" s="4"/>
      <c r="B441" s="35" t="s">
        <v>668</v>
      </c>
      <c r="D441" s="4"/>
      <c r="K441" s="4">
        <v>1.0</v>
      </c>
    </row>
    <row r="442">
      <c r="A442" s="4"/>
      <c r="B442" s="35" t="s">
        <v>1076</v>
      </c>
      <c r="D442" s="4"/>
      <c r="F442" s="4">
        <v>1.0</v>
      </c>
    </row>
    <row r="443">
      <c r="A443" s="4" t="s">
        <v>57</v>
      </c>
      <c r="B443" s="35" t="s">
        <v>509</v>
      </c>
      <c r="D443" s="4">
        <v>2.0</v>
      </c>
      <c r="L443" s="4">
        <v>1.0</v>
      </c>
      <c r="N443" s="4">
        <v>1.0</v>
      </c>
      <c r="AH443" s="4">
        <v>1.0</v>
      </c>
    </row>
    <row r="444">
      <c r="A444" s="4" t="s">
        <v>1348</v>
      </c>
      <c r="B444" s="35" t="s">
        <v>1050</v>
      </c>
    </row>
    <row r="445">
      <c r="A445" s="4" t="s">
        <v>57</v>
      </c>
      <c r="B445" s="35" t="s">
        <v>840</v>
      </c>
      <c r="L445" s="4">
        <v>1.0</v>
      </c>
    </row>
    <row r="446">
      <c r="A446" s="4" t="s">
        <v>57</v>
      </c>
      <c r="B446" s="35" t="s">
        <v>841</v>
      </c>
    </row>
    <row r="447">
      <c r="A447" s="4" t="s">
        <v>57</v>
      </c>
      <c r="B447" s="35" t="s">
        <v>842</v>
      </c>
    </row>
    <row r="448">
      <c r="A448" s="4" t="s">
        <v>57</v>
      </c>
      <c r="B448" s="35" t="s">
        <v>843</v>
      </c>
      <c r="L448" s="4">
        <v>1.0</v>
      </c>
    </row>
    <row r="449">
      <c r="A449" s="4" t="s">
        <v>57</v>
      </c>
      <c r="B449" s="35" t="s">
        <v>844</v>
      </c>
      <c r="L449" s="4">
        <v>1.0</v>
      </c>
    </row>
    <row r="450">
      <c r="A450" s="4" t="s">
        <v>57</v>
      </c>
      <c r="B450" s="35" t="s">
        <v>845</v>
      </c>
      <c r="C450" s="4">
        <v>1.0</v>
      </c>
    </row>
    <row r="451">
      <c r="A451" s="4"/>
      <c r="B451" s="35" t="s">
        <v>846</v>
      </c>
      <c r="C451" s="4">
        <v>1.0</v>
      </c>
      <c r="L451" s="4">
        <v>1.0</v>
      </c>
    </row>
    <row r="452">
      <c r="A452" s="4" t="s">
        <v>57</v>
      </c>
      <c r="B452" s="35" t="s">
        <v>847</v>
      </c>
    </row>
    <row r="453">
      <c r="A453" s="4" t="s">
        <v>57</v>
      </c>
      <c r="B453" s="35" t="s">
        <v>848</v>
      </c>
      <c r="L453" s="4">
        <v>1.0</v>
      </c>
    </row>
    <row r="454">
      <c r="A454" s="4" t="s">
        <v>57</v>
      </c>
      <c r="B454" s="35" t="s">
        <v>849</v>
      </c>
      <c r="L454" s="4">
        <v>1.0</v>
      </c>
    </row>
    <row r="455">
      <c r="A455" s="4"/>
      <c r="B455" s="35" t="s">
        <v>850</v>
      </c>
      <c r="C455" s="4">
        <v>1.0</v>
      </c>
      <c r="L455" s="4">
        <v>1.0</v>
      </c>
    </row>
    <row r="456">
      <c r="A456" s="4"/>
      <c r="B456" s="35" t="s">
        <v>851</v>
      </c>
      <c r="L456" s="4">
        <v>1.0</v>
      </c>
    </row>
    <row r="457">
      <c r="A457" s="4" t="s">
        <v>1348</v>
      </c>
      <c r="B457" s="35" t="s">
        <v>511</v>
      </c>
    </row>
    <row r="458">
      <c r="A458" s="4"/>
      <c r="B458" s="35" t="s">
        <v>512</v>
      </c>
      <c r="D458" s="4">
        <v>1.0</v>
      </c>
      <c r="H458" s="4">
        <v>2.0</v>
      </c>
    </row>
    <row r="459">
      <c r="A459" s="4" t="s">
        <v>1348</v>
      </c>
      <c r="B459" s="35" t="s">
        <v>513</v>
      </c>
    </row>
    <row r="460">
      <c r="A460" s="4"/>
      <c r="B460" s="35" t="s">
        <v>515</v>
      </c>
      <c r="C460" s="4">
        <v>1.0</v>
      </c>
      <c r="E460" s="4">
        <v>1.0</v>
      </c>
      <c r="L460" s="4">
        <v>1.0</v>
      </c>
    </row>
    <row r="461">
      <c r="A461" s="4"/>
      <c r="B461" s="35" t="s">
        <v>517</v>
      </c>
      <c r="D461" s="4">
        <v>1.0</v>
      </c>
    </row>
    <row r="462">
      <c r="A462" s="4"/>
      <c r="B462" s="35" t="s">
        <v>671</v>
      </c>
      <c r="D462" s="4">
        <v>2.0</v>
      </c>
    </row>
    <row r="463">
      <c r="A463" s="4" t="s">
        <v>1348</v>
      </c>
      <c r="B463" s="35" t="s">
        <v>672</v>
      </c>
    </row>
    <row r="464">
      <c r="A464" s="4"/>
      <c r="B464" s="35" t="s">
        <v>518</v>
      </c>
      <c r="I464" s="4">
        <v>1.0</v>
      </c>
      <c r="W464" s="4">
        <v>1.0</v>
      </c>
    </row>
    <row r="465">
      <c r="A465" s="4" t="s">
        <v>57</v>
      </c>
      <c r="B465" s="35" t="s">
        <v>877</v>
      </c>
    </row>
    <row r="466">
      <c r="A466" s="4" t="s">
        <v>57</v>
      </c>
      <c r="B466" s="35" t="s">
        <v>752</v>
      </c>
    </row>
    <row r="467">
      <c r="A467" s="4"/>
      <c r="B467" s="35" t="s">
        <v>753</v>
      </c>
      <c r="Z467" s="4">
        <v>1.0</v>
      </c>
    </row>
    <row r="468">
      <c r="A468" s="4" t="s">
        <v>1349</v>
      </c>
      <c r="B468" s="35" t="s">
        <v>754</v>
      </c>
    </row>
    <row r="469">
      <c r="A469" s="4" t="s">
        <v>57</v>
      </c>
      <c r="B469" s="35" t="s">
        <v>852</v>
      </c>
    </row>
    <row r="470">
      <c r="A470" s="4" t="s">
        <v>57</v>
      </c>
      <c r="B470" s="35" t="s">
        <v>673</v>
      </c>
    </row>
    <row r="471">
      <c r="A471" s="4"/>
      <c r="B471" s="35" t="s">
        <v>223</v>
      </c>
      <c r="F471" s="4">
        <v>1.0</v>
      </c>
    </row>
    <row r="472">
      <c r="A472" s="4" t="s">
        <v>1348</v>
      </c>
      <c r="B472" s="35" t="s">
        <v>937</v>
      </c>
    </row>
    <row r="473">
      <c r="A473" s="4" t="s">
        <v>57</v>
      </c>
      <c r="B473" s="35" t="s">
        <v>870</v>
      </c>
      <c r="F473" s="4">
        <v>1.0</v>
      </c>
      <c r="H473" s="4">
        <v>1.0</v>
      </c>
      <c r="L473" s="4">
        <v>1.0</v>
      </c>
      <c r="AF473" s="4">
        <v>1.0</v>
      </c>
    </row>
    <row r="474">
      <c r="A474" s="4" t="s">
        <v>57</v>
      </c>
      <c r="B474" s="35" t="s">
        <v>871</v>
      </c>
    </row>
    <row r="475">
      <c r="A475" s="4"/>
      <c r="B475" s="35" t="s">
        <v>1293</v>
      </c>
      <c r="H475" s="4">
        <v>1.0</v>
      </c>
    </row>
    <row r="476">
      <c r="A476" s="4"/>
      <c r="B476" s="35" t="s">
        <v>1295</v>
      </c>
      <c r="F476" s="4">
        <v>1.0</v>
      </c>
      <c r="H476" s="4"/>
    </row>
    <row r="477">
      <c r="A477" s="4"/>
      <c r="B477" s="35" t="s">
        <v>1296</v>
      </c>
      <c r="F477" s="4">
        <v>1.0</v>
      </c>
      <c r="H477" s="4"/>
    </row>
    <row r="478">
      <c r="A478" s="4"/>
      <c r="B478" s="35" t="s">
        <v>1297</v>
      </c>
      <c r="F478" s="4">
        <v>1.0</v>
      </c>
      <c r="H478" s="4"/>
    </row>
    <row r="479">
      <c r="A479" s="4"/>
      <c r="B479" s="35" t="s">
        <v>1294</v>
      </c>
      <c r="H479" s="4">
        <v>1.0</v>
      </c>
    </row>
    <row r="480">
      <c r="A480" s="4" t="s">
        <v>1348</v>
      </c>
      <c r="B480" s="35" t="s">
        <v>1040</v>
      </c>
    </row>
    <row r="481">
      <c r="A481" s="4" t="s">
        <v>1348</v>
      </c>
      <c r="B481" s="35" t="s">
        <v>1041</v>
      </c>
    </row>
    <row r="482">
      <c r="A482" s="4"/>
      <c r="B482" s="35" t="s">
        <v>1042</v>
      </c>
      <c r="C482" s="4"/>
      <c r="H482" s="4">
        <v>1.0</v>
      </c>
      <c r="X482" s="4"/>
    </row>
    <row r="483">
      <c r="A483" s="4"/>
      <c r="B483" s="35" t="s">
        <v>1043</v>
      </c>
      <c r="C483" s="4">
        <v>2.0</v>
      </c>
      <c r="X483" s="4">
        <v>2.0</v>
      </c>
    </row>
    <row r="484">
      <c r="A484" s="4"/>
      <c r="B484" s="35" t="s">
        <v>1044</v>
      </c>
      <c r="J484" s="4">
        <v>1.0</v>
      </c>
    </row>
    <row r="485">
      <c r="A485" s="4" t="s">
        <v>1348</v>
      </c>
      <c r="B485" s="35" t="s">
        <v>1045</v>
      </c>
    </row>
    <row r="486">
      <c r="A486" s="4" t="s">
        <v>1348</v>
      </c>
      <c r="B486" s="35" t="s">
        <v>1046</v>
      </c>
    </row>
    <row r="487">
      <c r="A487" s="4" t="s">
        <v>1348</v>
      </c>
      <c r="B487" s="35" t="s">
        <v>1048</v>
      </c>
    </row>
    <row r="488">
      <c r="A488" s="4" t="s">
        <v>1349</v>
      </c>
      <c r="B488" s="35" t="s">
        <v>519</v>
      </c>
    </row>
    <row r="489">
      <c r="A489" s="4" t="s">
        <v>57</v>
      </c>
      <c r="B489" s="35" t="s">
        <v>854</v>
      </c>
    </row>
    <row r="490">
      <c r="A490" s="4" t="s">
        <v>57</v>
      </c>
      <c r="B490" s="35" t="s">
        <v>520</v>
      </c>
      <c r="C490" s="4">
        <v>4.0</v>
      </c>
      <c r="F490" s="4">
        <v>1.0</v>
      </c>
      <c r="K490" s="4">
        <v>2.0</v>
      </c>
      <c r="L490" s="4">
        <v>11.0</v>
      </c>
      <c r="Z490" s="4">
        <v>1.0</v>
      </c>
      <c r="AH490" s="4">
        <v>1.0</v>
      </c>
    </row>
    <row r="491">
      <c r="A491" s="4" t="s">
        <v>57</v>
      </c>
      <c r="B491" s="35" t="s">
        <v>521</v>
      </c>
      <c r="F491" s="4">
        <v>1.0</v>
      </c>
      <c r="K491" s="4">
        <v>33.0</v>
      </c>
      <c r="L491" s="4">
        <v>1.0</v>
      </c>
      <c r="Q491" s="4">
        <v>5.0</v>
      </c>
      <c r="R491" s="4">
        <v>1.0</v>
      </c>
      <c r="AG491" s="4">
        <v>11.0</v>
      </c>
      <c r="AH491" s="4">
        <v>1.0</v>
      </c>
      <c r="AI491" s="4">
        <v>5.0</v>
      </c>
    </row>
    <row r="492">
      <c r="A492" s="4" t="s">
        <v>57</v>
      </c>
      <c r="B492" s="35" t="s">
        <v>522</v>
      </c>
      <c r="C492" s="4">
        <v>1.0</v>
      </c>
      <c r="D492" s="4">
        <v>1.0</v>
      </c>
      <c r="E492" s="4">
        <v>2.0</v>
      </c>
      <c r="F492" s="4">
        <v>1.0</v>
      </c>
      <c r="H492" s="4">
        <v>1.0</v>
      </c>
      <c r="L492" s="4">
        <v>2.0</v>
      </c>
      <c r="N492" s="4">
        <v>1.0</v>
      </c>
      <c r="Z492" s="4">
        <v>1.0</v>
      </c>
      <c r="AF492" s="4">
        <v>1.0</v>
      </c>
      <c r="AG492" s="4"/>
      <c r="AH492" s="4"/>
      <c r="AI492" s="4"/>
    </row>
    <row r="493">
      <c r="A493" s="4"/>
      <c r="B493" s="35" t="s">
        <v>674</v>
      </c>
      <c r="L493" s="4">
        <v>1.0</v>
      </c>
    </row>
    <row r="494">
      <c r="A494" s="4" t="s">
        <v>57</v>
      </c>
      <c r="B494" s="35" t="s">
        <v>307</v>
      </c>
    </row>
    <row r="495">
      <c r="A495" s="4"/>
      <c r="B495" s="35" t="s">
        <v>1079</v>
      </c>
      <c r="C495" s="4"/>
      <c r="E495" s="4"/>
      <c r="F495" s="4">
        <v>1.0</v>
      </c>
      <c r="H495" s="4"/>
    </row>
    <row r="496">
      <c r="A496" s="4"/>
      <c r="B496" s="35" t="s">
        <v>257</v>
      </c>
      <c r="C496" s="4">
        <v>1.0</v>
      </c>
      <c r="E496" s="4">
        <v>1.0</v>
      </c>
      <c r="H496" s="4">
        <v>1.0</v>
      </c>
    </row>
    <row r="497">
      <c r="A497" s="4"/>
      <c r="B497" s="35" t="s">
        <v>260</v>
      </c>
      <c r="C497" s="4">
        <v>1.0</v>
      </c>
      <c r="E497" s="4"/>
      <c r="H497" s="4">
        <v>1.0</v>
      </c>
    </row>
    <row r="498">
      <c r="A498" s="4"/>
      <c r="B498" s="35" t="s">
        <v>261</v>
      </c>
      <c r="C498" s="4">
        <v>1.0</v>
      </c>
      <c r="E498" s="4">
        <v>1.0</v>
      </c>
      <c r="H498" s="4">
        <v>1.0</v>
      </c>
    </row>
    <row r="499">
      <c r="A499" s="4" t="s">
        <v>57</v>
      </c>
      <c r="B499" s="35" t="s">
        <v>675</v>
      </c>
    </row>
    <row r="500">
      <c r="A500" s="4"/>
      <c r="B500" s="35" t="s">
        <v>1055</v>
      </c>
      <c r="J500" s="4"/>
      <c r="K500" s="4">
        <v>2.0</v>
      </c>
    </row>
    <row r="501">
      <c r="A501" s="4" t="s">
        <v>1348</v>
      </c>
      <c r="B501" s="35" t="s">
        <v>523</v>
      </c>
      <c r="J501" s="4">
        <v>89.0</v>
      </c>
    </row>
    <row r="502">
      <c r="A502" s="4" t="s">
        <v>1349</v>
      </c>
      <c r="B502" s="35" t="s">
        <v>524</v>
      </c>
      <c r="D502" s="4">
        <v>1.0</v>
      </c>
      <c r="E502" s="4">
        <v>1.0</v>
      </c>
      <c r="H502" s="4">
        <v>1.0</v>
      </c>
      <c r="J502" s="4">
        <v>1.0</v>
      </c>
      <c r="L502" s="4">
        <v>1.0</v>
      </c>
      <c r="V502" s="4">
        <v>1.0</v>
      </c>
      <c r="Z502" s="4">
        <v>1.0</v>
      </c>
    </row>
    <row r="503">
      <c r="A503" s="4" t="s">
        <v>57</v>
      </c>
      <c r="B503" s="35" t="s">
        <v>886</v>
      </c>
    </row>
    <row r="504">
      <c r="A504" s="4" t="s">
        <v>57</v>
      </c>
      <c r="B504" s="35" t="s">
        <v>887</v>
      </c>
    </row>
    <row r="505">
      <c r="A505" s="4" t="s">
        <v>57</v>
      </c>
      <c r="B505" s="35" t="s">
        <v>888</v>
      </c>
    </row>
    <row r="506">
      <c r="A506" s="4" t="s">
        <v>57</v>
      </c>
      <c r="B506" s="35" t="s">
        <v>889</v>
      </c>
    </row>
    <row r="507">
      <c r="A507" s="4" t="s">
        <v>57</v>
      </c>
      <c r="B507" s="35" t="s">
        <v>1372</v>
      </c>
      <c r="D507" s="4">
        <v>1.0</v>
      </c>
    </row>
    <row r="508">
      <c r="A508" s="4" t="s">
        <v>57</v>
      </c>
      <c r="B508" s="35" t="s">
        <v>678</v>
      </c>
      <c r="F508" s="4">
        <v>1.0</v>
      </c>
      <c r="L508" s="4">
        <v>1.0</v>
      </c>
    </row>
    <row r="509">
      <c r="A509" s="4"/>
      <c r="B509" s="35" t="s">
        <v>1057</v>
      </c>
      <c r="E509" s="4"/>
      <c r="I509" s="4"/>
      <c r="K509" s="4">
        <v>1.0</v>
      </c>
      <c r="L509" s="4"/>
    </row>
    <row r="510">
      <c r="A510" s="4"/>
      <c r="B510" s="35" t="s">
        <v>1058</v>
      </c>
      <c r="E510" s="4"/>
      <c r="I510" s="4"/>
      <c r="K510" s="4">
        <v>1.0</v>
      </c>
      <c r="L510" s="4"/>
    </row>
    <row r="511">
      <c r="A511" s="4"/>
      <c r="B511" s="35" t="s">
        <v>680</v>
      </c>
      <c r="E511" s="4">
        <v>2.0</v>
      </c>
      <c r="I511" s="4"/>
      <c r="L511" s="4"/>
    </row>
    <row r="512">
      <c r="A512" s="4"/>
      <c r="B512" s="35" t="s">
        <v>526</v>
      </c>
      <c r="E512" s="4">
        <v>1.0</v>
      </c>
    </row>
    <row r="513">
      <c r="A513" s="4"/>
      <c r="B513" s="35" t="s">
        <v>527</v>
      </c>
      <c r="AH513" s="4">
        <v>1.0</v>
      </c>
    </row>
    <row r="514">
      <c r="A514" s="4" t="s">
        <v>1348</v>
      </c>
      <c r="B514" s="35" t="s">
        <v>528</v>
      </c>
    </row>
    <row r="515">
      <c r="A515" s="4"/>
      <c r="B515" s="35" t="s">
        <v>529</v>
      </c>
      <c r="E515" s="4"/>
      <c r="I515" s="4"/>
      <c r="L515" s="4"/>
      <c r="AF515" s="4"/>
      <c r="AG515" s="4">
        <v>1.0</v>
      </c>
    </row>
    <row r="516">
      <c r="A516" s="4"/>
      <c r="B516" s="35" t="s">
        <v>533</v>
      </c>
      <c r="E516" s="4"/>
      <c r="I516" s="4">
        <v>1.0</v>
      </c>
      <c r="L516" s="4"/>
      <c r="AF516" s="4"/>
    </row>
    <row r="517">
      <c r="A517" s="4"/>
      <c r="B517" s="35" t="s">
        <v>1299</v>
      </c>
      <c r="E517" s="4"/>
      <c r="I517" s="4"/>
      <c r="L517" s="4"/>
      <c r="AF517" s="4">
        <v>31.0</v>
      </c>
    </row>
    <row r="518">
      <c r="A518" s="4" t="s">
        <v>1348</v>
      </c>
      <c r="B518" s="35" t="s">
        <v>535</v>
      </c>
    </row>
    <row r="519">
      <c r="A519" s="4" t="s">
        <v>1348</v>
      </c>
      <c r="B519" s="35" t="s">
        <v>537</v>
      </c>
    </row>
    <row r="520">
      <c r="A520" s="4"/>
      <c r="B520" s="35" t="s">
        <v>536</v>
      </c>
      <c r="E520" s="4">
        <v>1.0</v>
      </c>
      <c r="J520" s="4"/>
    </row>
    <row r="521">
      <c r="A521" s="4"/>
      <c r="B521" s="35" t="s">
        <v>549</v>
      </c>
      <c r="E521" s="4"/>
      <c r="J521" s="4">
        <v>5.0</v>
      </c>
    </row>
    <row r="522">
      <c r="A522" s="4"/>
      <c r="B522" s="35" t="s">
        <v>547</v>
      </c>
      <c r="E522" s="4"/>
      <c r="W522" s="4"/>
      <c r="AF522" s="4">
        <v>1.0</v>
      </c>
    </row>
    <row r="523">
      <c r="A523" s="4"/>
      <c r="B523" s="35" t="s">
        <v>548</v>
      </c>
      <c r="E523" s="4">
        <v>1.0</v>
      </c>
      <c r="W523" s="4"/>
      <c r="AF523" s="4">
        <v>1.0</v>
      </c>
    </row>
    <row r="524">
      <c r="A524" s="4"/>
      <c r="B524" s="35" t="s">
        <v>550</v>
      </c>
      <c r="E524" s="4"/>
      <c r="W524" s="4">
        <v>1.0</v>
      </c>
    </row>
    <row r="525">
      <c r="A525" s="4"/>
      <c r="B525" s="35" t="s">
        <v>555</v>
      </c>
      <c r="Q525" s="4"/>
      <c r="AH525" s="4">
        <v>2.0</v>
      </c>
    </row>
    <row r="526">
      <c r="A526" s="4"/>
      <c r="B526" s="35" t="s">
        <v>556</v>
      </c>
      <c r="Q526" s="4"/>
      <c r="AH526" s="4">
        <v>3.0</v>
      </c>
    </row>
    <row r="527">
      <c r="A527" s="4"/>
      <c r="B527" s="35" t="s">
        <v>560</v>
      </c>
      <c r="Q527" s="4"/>
      <c r="AH527" s="4"/>
    </row>
    <row r="528">
      <c r="A528" s="4"/>
      <c r="B528" s="35" t="s">
        <v>563</v>
      </c>
      <c r="Q528" s="4">
        <v>1.0</v>
      </c>
    </row>
    <row r="529">
      <c r="A529" s="4"/>
      <c r="B529" s="35" t="s">
        <v>502</v>
      </c>
      <c r="C529" s="4"/>
      <c r="E529" s="4"/>
      <c r="I529" s="4"/>
      <c r="L529" s="4"/>
      <c r="V529" s="4">
        <v>1.0</v>
      </c>
    </row>
    <row r="530">
      <c r="A530" s="4" t="s">
        <v>57</v>
      </c>
      <c r="B530" s="35" t="s">
        <v>576</v>
      </c>
      <c r="C530" s="4">
        <v>1.0</v>
      </c>
      <c r="E530" s="4">
        <v>1.0</v>
      </c>
      <c r="I530" s="4">
        <v>3.0</v>
      </c>
      <c r="L530" s="4">
        <v>2.0</v>
      </c>
    </row>
    <row r="531">
      <c r="A531" s="4" t="s">
        <v>1349</v>
      </c>
      <c r="B531" s="35" t="s">
        <v>1373</v>
      </c>
    </row>
    <row r="532">
      <c r="A532" s="4" t="s">
        <v>1349</v>
      </c>
      <c r="B532" s="35" t="s">
        <v>1374</v>
      </c>
    </row>
    <row r="533">
      <c r="A533" s="4" t="s">
        <v>1349</v>
      </c>
      <c r="B533" s="35" t="s">
        <v>1375</v>
      </c>
      <c r="G533" s="4">
        <v>4.0</v>
      </c>
    </row>
    <row r="534">
      <c r="A534" s="4" t="s">
        <v>1349</v>
      </c>
      <c r="B534" s="35" t="s">
        <v>938</v>
      </c>
    </row>
    <row r="535">
      <c r="A535" s="4" t="s">
        <v>1349</v>
      </c>
      <c r="B535" s="35" t="s">
        <v>939</v>
      </c>
    </row>
    <row r="536">
      <c r="A536" s="4"/>
      <c r="B536" s="35" t="s">
        <v>1300</v>
      </c>
      <c r="Z536" s="4">
        <v>5.0</v>
      </c>
    </row>
    <row r="537">
      <c r="A537" s="4" t="s">
        <v>1349</v>
      </c>
      <c r="B537" s="35" t="s">
        <v>942</v>
      </c>
    </row>
    <row r="538">
      <c r="A538" s="4" t="s">
        <v>1349</v>
      </c>
      <c r="B538" s="35" t="s">
        <v>943</v>
      </c>
    </row>
    <row r="539">
      <c r="A539" s="4" t="s">
        <v>1349</v>
      </c>
      <c r="B539" s="35" t="s">
        <v>944</v>
      </c>
      <c r="D539" s="4">
        <v>4.0</v>
      </c>
      <c r="N539" s="4">
        <v>4.0</v>
      </c>
    </row>
    <row r="540">
      <c r="A540" s="4"/>
      <c r="B540" s="35" t="s">
        <v>949</v>
      </c>
      <c r="AG540" s="4">
        <v>6.0</v>
      </c>
    </row>
    <row r="541">
      <c r="A541" s="4"/>
      <c r="B541" s="35" t="s">
        <v>950</v>
      </c>
      <c r="E541" s="4">
        <v>1.0</v>
      </c>
      <c r="G541" s="4"/>
      <c r="Q541" s="4"/>
    </row>
    <row r="542">
      <c r="A542" s="4"/>
      <c r="B542" s="35" t="s">
        <v>954</v>
      </c>
      <c r="G542" s="4">
        <v>3.0</v>
      </c>
      <c r="Q542" s="4"/>
    </row>
    <row r="543">
      <c r="A543" s="4" t="s">
        <v>1349</v>
      </c>
      <c r="B543" s="35" t="s">
        <v>955</v>
      </c>
      <c r="Q543" s="4">
        <v>6.0</v>
      </c>
    </row>
    <row r="544">
      <c r="A544" s="4"/>
      <c r="B544" s="35" t="s">
        <v>959</v>
      </c>
      <c r="J544" s="4">
        <v>1.0</v>
      </c>
      <c r="Q544" s="4"/>
      <c r="Y544" s="4">
        <v>1.0</v>
      </c>
      <c r="AC544" s="4">
        <v>1.0</v>
      </c>
      <c r="AD544" s="4"/>
      <c r="AE544" s="4">
        <v>1.0</v>
      </c>
    </row>
    <row r="545">
      <c r="A545" s="4"/>
      <c r="B545" s="35" t="s">
        <v>963</v>
      </c>
      <c r="Q545" s="4">
        <v>1.0</v>
      </c>
    </row>
    <row r="546">
      <c r="A546" s="4"/>
      <c r="B546" s="35" t="s">
        <v>327</v>
      </c>
      <c r="Z546" s="4">
        <v>1.0</v>
      </c>
    </row>
    <row r="547">
      <c r="A547" s="4"/>
      <c r="B547" s="35" t="s">
        <v>972</v>
      </c>
      <c r="I547" s="4"/>
      <c r="Q547" s="4">
        <v>1.0</v>
      </c>
    </row>
    <row r="548">
      <c r="A548" s="4"/>
      <c r="B548" s="35" t="s">
        <v>945</v>
      </c>
      <c r="I548" s="4">
        <v>1.0</v>
      </c>
    </row>
    <row r="549">
      <c r="A549" s="4"/>
      <c r="B549" s="35" t="s">
        <v>946</v>
      </c>
      <c r="I549" s="4">
        <v>2.0</v>
      </c>
    </row>
    <row r="550">
      <c r="A550" s="4" t="s">
        <v>1349</v>
      </c>
      <c r="B550" s="35" t="s">
        <v>967</v>
      </c>
    </row>
    <row r="551">
      <c r="A551" s="4" t="s">
        <v>1349</v>
      </c>
      <c r="B551" s="35" t="s">
        <v>968</v>
      </c>
    </row>
    <row r="552">
      <c r="A552" s="4"/>
      <c r="B552" s="35" t="s">
        <v>969</v>
      </c>
      <c r="Z552" s="4">
        <v>5.0</v>
      </c>
    </row>
    <row r="553">
      <c r="A553" s="4"/>
      <c r="B553" s="35" t="s">
        <v>973</v>
      </c>
      <c r="C553" s="4">
        <v>1.0</v>
      </c>
      <c r="F553" s="4">
        <v>1.0</v>
      </c>
      <c r="U553" s="4">
        <v>1.0</v>
      </c>
      <c r="AF553" s="4">
        <v>1.0</v>
      </c>
    </row>
    <row r="554">
      <c r="A554" s="4" t="s">
        <v>1349</v>
      </c>
      <c r="B554" s="35" t="s">
        <v>975</v>
      </c>
    </row>
    <row r="555">
      <c r="A555" s="4" t="s">
        <v>1349</v>
      </c>
      <c r="B555" s="35" t="s">
        <v>976</v>
      </c>
      <c r="W555" s="4">
        <v>3.0</v>
      </c>
    </row>
    <row r="556">
      <c r="A556" s="4"/>
      <c r="B556" s="35" t="s">
        <v>977</v>
      </c>
      <c r="I556" s="4">
        <v>3.0</v>
      </c>
      <c r="W556" s="4"/>
    </row>
    <row r="557">
      <c r="A557" s="4"/>
      <c r="B557" s="35" t="s">
        <v>1301</v>
      </c>
      <c r="W557" s="4">
        <v>14.0</v>
      </c>
    </row>
    <row r="558">
      <c r="A558" s="4" t="s">
        <v>57</v>
      </c>
      <c r="B558" s="35" t="s">
        <v>904</v>
      </c>
    </row>
    <row r="559">
      <c r="A559" s="4"/>
      <c r="B559" s="35" t="s">
        <v>905</v>
      </c>
      <c r="I559" s="4">
        <v>1.0</v>
      </c>
    </row>
    <row r="560">
      <c r="A560" s="4" t="s">
        <v>57</v>
      </c>
      <c r="B560" s="35" t="s">
        <v>907</v>
      </c>
    </row>
    <row r="561">
      <c r="A561" s="4"/>
      <c r="B561" s="35" t="s">
        <v>899</v>
      </c>
      <c r="C561" s="4">
        <v>1.0</v>
      </c>
      <c r="H561" s="4">
        <v>1.0</v>
      </c>
    </row>
    <row r="562">
      <c r="A562" s="4"/>
      <c r="B562" s="35" t="s">
        <v>900</v>
      </c>
      <c r="C562" s="4">
        <v>1.0</v>
      </c>
      <c r="E562" s="4">
        <v>1.0</v>
      </c>
      <c r="H562" s="4">
        <v>1.0</v>
      </c>
    </row>
    <row r="563">
      <c r="A563" s="4" t="s">
        <v>1348</v>
      </c>
      <c r="B563" s="35" t="s">
        <v>901</v>
      </c>
    </row>
    <row r="564">
      <c r="A564" s="4" t="s">
        <v>57</v>
      </c>
      <c r="B564" s="35" t="s">
        <v>902</v>
      </c>
      <c r="L564" s="4">
        <v>1.0</v>
      </c>
    </row>
    <row r="565">
      <c r="A565" s="4"/>
      <c r="B565" s="35" t="s">
        <v>1063</v>
      </c>
      <c r="K565" s="4">
        <v>1.0</v>
      </c>
    </row>
    <row r="566">
      <c r="A566" s="4"/>
      <c r="B566" s="35" t="s">
        <v>1064</v>
      </c>
      <c r="K566" s="4">
        <v>1.0</v>
      </c>
    </row>
    <row r="567">
      <c r="A567" s="4" t="s">
        <v>1348</v>
      </c>
      <c r="B567" s="35" t="s">
        <v>1066</v>
      </c>
    </row>
    <row r="568">
      <c r="A568" s="4" t="s">
        <v>1348</v>
      </c>
      <c r="B568" s="34" t="s">
        <v>1067</v>
      </c>
    </row>
    <row r="569">
      <c r="A569" s="4"/>
      <c r="B569" s="35" t="s">
        <v>1071</v>
      </c>
      <c r="K569" s="4">
        <v>2.0</v>
      </c>
    </row>
    <row r="570">
      <c r="A570" s="4"/>
      <c r="B570" s="35" t="s">
        <v>1069</v>
      </c>
      <c r="E570" s="4">
        <v>1.0</v>
      </c>
    </row>
    <row r="571">
      <c r="A571" s="4"/>
      <c r="B571" s="35" t="s">
        <v>1068</v>
      </c>
      <c r="E571" s="4">
        <v>1.0</v>
      </c>
    </row>
    <row r="572">
      <c r="A572" s="4" t="s">
        <v>1349</v>
      </c>
      <c r="B572" s="35" t="s">
        <v>1074</v>
      </c>
    </row>
    <row r="573">
      <c r="A573" s="4" t="s">
        <v>57</v>
      </c>
      <c r="B573" s="35" t="s">
        <v>685</v>
      </c>
      <c r="E573" s="4">
        <v>1.0</v>
      </c>
      <c r="H573" s="4">
        <v>1.0</v>
      </c>
    </row>
    <row r="574">
      <c r="A574" s="4"/>
      <c r="B574" s="35" t="s">
        <v>686</v>
      </c>
      <c r="F574" s="4"/>
      <c r="W574" s="4"/>
      <c r="AH574" s="4">
        <v>1.0</v>
      </c>
    </row>
    <row r="575">
      <c r="A575" s="4"/>
      <c r="B575" s="35" t="s">
        <v>785</v>
      </c>
      <c r="F575" s="4"/>
      <c r="W575" s="4">
        <v>1.0</v>
      </c>
    </row>
    <row r="576">
      <c r="A576" s="4"/>
      <c r="B576" s="35" t="s">
        <v>795</v>
      </c>
      <c r="F576" s="4">
        <v>1.0</v>
      </c>
    </row>
    <row r="577">
      <c r="A577" s="4"/>
      <c r="B577" s="35" t="s">
        <v>796</v>
      </c>
      <c r="F577" s="4">
        <v>1.0</v>
      </c>
    </row>
    <row r="578">
      <c r="A578" s="4"/>
      <c r="B578" s="35" t="s">
        <v>797</v>
      </c>
      <c r="F578" s="4">
        <v>1.0</v>
      </c>
    </row>
    <row r="579">
      <c r="A579" s="4"/>
      <c r="B579" s="35" t="s">
        <v>185</v>
      </c>
      <c r="F579" s="4">
        <v>1.0</v>
      </c>
    </row>
    <row r="580">
      <c r="A580" s="4" t="s">
        <v>57</v>
      </c>
      <c r="B580" s="35" t="s">
        <v>323</v>
      </c>
    </row>
    <row r="581">
      <c r="A581" s="4" t="s">
        <v>57</v>
      </c>
      <c r="B581" s="35" t="s">
        <v>921</v>
      </c>
      <c r="L581" s="4">
        <v>1.0</v>
      </c>
      <c r="V581" s="4">
        <v>1.0</v>
      </c>
    </row>
    <row r="582">
      <c r="A582" s="4"/>
      <c r="B582" s="35" t="s">
        <v>922</v>
      </c>
      <c r="N582" s="4">
        <v>1.0</v>
      </c>
    </row>
    <row r="583">
      <c r="A583" s="4" t="s">
        <v>57</v>
      </c>
      <c r="B583" s="35" t="s">
        <v>923</v>
      </c>
      <c r="AH583" s="4">
        <v>1.0</v>
      </c>
    </row>
    <row r="584">
      <c r="A584" s="4" t="s">
        <v>57</v>
      </c>
      <c r="B584" s="35" t="s">
        <v>687</v>
      </c>
      <c r="C584" s="4">
        <v>1.0</v>
      </c>
      <c r="F584" s="4">
        <v>1.0</v>
      </c>
      <c r="H584" s="4">
        <v>1.0</v>
      </c>
      <c r="K584" s="4">
        <v>1.0</v>
      </c>
      <c r="U584" s="4">
        <v>1.0</v>
      </c>
    </row>
    <row r="585">
      <c r="A585" s="4"/>
      <c r="B585" s="35" t="s">
        <v>1093</v>
      </c>
      <c r="G585" s="4">
        <v>2.0</v>
      </c>
    </row>
    <row r="586">
      <c r="A586" s="4"/>
      <c r="B586" s="35" t="s">
        <v>1376</v>
      </c>
      <c r="G586" s="4">
        <v>1.0</v>
      </c>
    </row>
    <row r="587">
      <c r="A587" s="4" t="s">
        <v>57</v>
      </c>
      <c r="B587" s="35" t="s">
        <v>1094</v>
      </c>
    </row>
    <row r="588">
      <c r="A588" s="4" t="s">
        <v>1349</v>
      </c>
      <c r="B588" s="35" t="s">
        <v>1095</v>
      </c>
    </row>
    <row r="589">
      <c r="A589" s="4" t="s">
        <v>57</v>
      </c>
      <c r="B589" s="35" t="s">
        <v>1096</v>
      </c>
    </row>
    <row r="590">
      <c r="A590" s="4" t="s">
        <v>1348</v>
      </c>
      <c r="B590" s="35" t="s">
        <v>1097</v>
      </c>
    </row>
    <row r="591">
      <c r="A591" s="4" t="s">
        <v>57</v>
      </c>
      <c r="B591" s="35" t="s">
        <v>1098</v>
      </c>
    </row>
    <row r="592">
      <c r="A592" s="4" t="s">
        <v>57</v>
      </c>
      <c r="B592" s="35" t="s">
        <v>1099</v>
      </c>
    </row>
    <row r="593">
      <c r="A593" s="4" t="s">
        <v>57</v>
      </c>
      <c r="B593" s="35" t="s">
        <v>1100</v>
      </c>
    </row>
    <row r="594">
      <c r="A594" s="4"/>
      <c r="B594" s="35" t="s">
        <v>1101</v>
      </c>
      <c r="G594" s="4">
        <v>1.0</v>
      </c>
    </row>
    <row r="595">
      <c r="A595" s="4" t="s">
        <v>57</v>
      </c>
      <c r="B595" s="35" t="s">
        <v>1102</v>
      </c>
      <c r="G595" s="4">
        <v>1.0</v>
      </c>
    </row>
    <row r="596">
      <c r="A596" s="4" t="s">
        <v>57</v>
      </c>
      <c r="B596" s="35" t="s">
        <v>1104</v>
      </c>
      <c r="G596" s="4">
        <v>1.0</v>
      </c>
    </row>
    <row r="597">
      <c r="A597" s="4" t="s">
        <v>1348</v>
      </c>
      <c r="B597" s="35" t="s">
        <v>1105</v>
      </c>
    </row>
    <row r="598">
      <c r="A598" s="4" t="s">
        <v>57</v>
      </c>
      <c r="B598" s="35" t="s">
        <v>1107</v>
      </c>
    </row>
    <row r="599">
      <c r="A599" s="4" t="s">
        <v>57</v>
      </c>
      <c r="B599" s="35" t="s">
        <v>1108</v>
      </c>
    </row>
    <row r="600">
      <c r="A600" s="4"/>
      <c r="B600" s="35" t="s">
        <v>1109</v>
      </c>
      <c r="G600" s="4">
        <v>1.0</v>
      </c>
    </row>
    <row r="601">
      <c r="A601" s="4" t="s">
        <v>57</v>
      </c>
      <c r="B601" s="35" t="s">
        <v>1110</v>
      </c>
    </row>
    <row r="602">
      <c r="A602" s="4" t="s">
        <v>57</v>
      </c>
      <c r="B602" s="35" t="s">
        <v>1377</v>
      </c>
    </row>
    <row r="603">
      <c r="A603" s="4" t="s">
        <v>57</v>
      </c>
      <c r="B603" s="35" t="s">
        <v>1112</v>
      </c>
    </row>
    <row r="604">
      <c r="A604" s="4" t="s">
        <v>57</v>
      </c>
      <c r="B604" s="35" t="s">
        <v>1113</v>
      </c>
      <c r="G604" s="4">
        <v>2.0</v>
      </c>
    </row>
    <row r="605">
      <c r="A605" s="4"/>
      <c r="B605" s="35" t="s">
        <v>1114</v>
      </c>
      <c r="F605" s="4"/>
      <c r="G605" s="4">
        <v>1.0</v>
      </c>
    </row>
    <row r="606">
      <c r="A606" s="4"/>
      <c r="B606" s="35" t="s">
        <v>1115</v>
      </c>
      <c r="F606" s="4">
        <v>1.0</v>
      </c>
      <c r="G606" s="4">
        <v>1.0</v>
      </c>
    </row>
    <row r="607">
      <c r="A607" s="4"/>
      <c r="B607" s="35" t="s">
        <v>1116</v>
      </c>
      <c r="G607" s="4">
        <v>1.0</v>
      </c>
    </row>
    <row r="608">
      <c r="A608" s="4"/>
      <c r="B608" s="35" t="s">
        <v>1117</v>
      </c>
      <c r="F608" s="4">
        <v>1.0</v>
      </c>
      <c r="G608" s="4">
        <v>3.0</v>
      </c>
    </row>
    <row r="609">
      <c r="A609" s="4" t="s">
        <v>57</v>
      </c>
      <c r="B609" s="35" t="s">
        <v>1118</v>
      </c>
    </row>
    <row r="610">
      <c r="A610" s="4"/>
      <c r="B610" s="35" t="s">
        <v>1119</v>
      </c>
      <c r="M610" s="4">
        <v>2.0</v>
      </c>
    </row>
    <row r="611">
      <c r="A611" s="4" t="s">
        <v>57</v>
      </c>
      <c r="B611" s="35" t="s">
        <v>1120</v>
      </c>
    </row>
    <row r="612">
      <c r="A612" s="4" t="s">
        <v>57</v>
      </c>
      <c r="B612" s="35" t="s">
        <v>1121</v>
      </c>
    </row>
    <row r="613">
      <c r="A613" s="4" t="s">
        <v>57</v>
      </c>
      <c r="B613" s="35" t="s">
        <v>1122</v>
      </c>
    </row>
    <row r="614">
      <c r="A614" s="4"/>
      <c r="B614" s="35" t="s">
        <v>1124</v>
      </c>
      <c r="G614" s="4">
        <v>1.0</v>
      </c>
    </row>
    <row r="615">
      <c r="A615" s="4" t="s">
        <v>57</v>
      </c>
      <c r="B615" s="35" t="s">
        <v>1123</v>
      </c>
    </row>
    <row r="616">
      <c r="A616" s="4"/>
      <c r="B616" s="35" t="s">
        <v>1125</v>
      </c>
      <c r="D616" s="4">
        <v>1.0</v>
      </c>
      <c r="G616" s="4">
        <v>1.0</v>
      </c>
      <c r="Z616" s="4">
        <v>1.0</v>
      </c>
    </row>
    <row r="617">
      <c r="A617" s="4"/>
      <c r="B617" s="35" t="s">
        <v>1126</v>
      </c>
      <c r="G617" s="4">
        <v>1.0</v>
      </c>
    </row>
    <row r="618">
      <c r="A618" s="4"/>
      <c r="B618" s="35" t="s">
        <v>1127</v>
      </c>
      <c r="G618" s="4">
        <v>1.0</v>
      </c>
    </row>
    <row r="619">
      <c r="A619" s="4" t="s">
        <v>57</v>
      </c>
      <c r="B619" s="35" t="s">
        <v>1128</v>
      </c>
    </row>
    <row r="620">
      <c r="A620" s="4" t="s">
        <v>57</v>
      </c>
      <c r="B620" s="35" t="s">
        <v>1129</v>
      </c>
    </row>
    <row r="621">
      <c r="A621" s="4" t="s">
        <v>57</v>
      </c>
      <c r="B621" s="35" t="s">
        <v>1130</v>
      </c>
    </row>
    <row r="622">
      <c r="A622" s="4" t="s">
        <v>57</v>
      </c>
      <c r="B622" s="35" t="s">
        <v>1131</v>
      </c>
    </row>
    <row r="623">
      <c r="A623" s="4" t="s">
        <v>57</v>
      </c>
      <c r="B623" s="35" t="s">
        <v>1133</v>
      </c>
    </row>
    <row r="624">
      <c r="A624" s="4"/>
      <c r="B624" s="35" t="s">
        <v>1134</v>
      </c>
      <c r="G624" s="4">
        <v>1.0</v>
      </c>
    </row>
    <row r="625">
      <c r="A625" s="4" t="s">
        <v>57</v>
      </c>
      <c r="B625" s="35" t="s">
        <v>1135</v>
      </c>
    </row>
    <row r="626">
      <c r="A626" s="4"/>
      <c r="B626" s="35" t="s">
        <v>1136</v>
      </c>
      <c r="G626" s="4">
        <v>1.0</v>
      </c>
    </row>
    <row r="627">
      <c r="A627" s="4" t="s">
        <v>57</v>
      </c>
      <c r="B627" s="35" t="s">
        <v>1137</v>
      </c>
    </row>
    <row r="628">
      <c r="A628" s="4" t="s">
        <v>57</v>
      </c>
      <c r="B628" s="35" t="s">
        <v>1138</v>
      </c>
    </row>
    <row r="629">
      <c r="A629" s="4" t="s">
        <v>57</v>
      </c>
      <c r="B629" s="35" t="s">
        <v>1139</v>
      </c>
    </row>
    <row r="630">
      <c r="A630" s="4" t="s">
        <v>57</v>
      </c>
      <c r="B630" s="35" t="s">
        <v>1140</v>
      </c>
    </row>
    <row r="631">
      <c r="A631" s="4" t="s">
        <v>57</v>
      </c>
      <c r="B631" s="35" t="s">
        <v>1141</v>
      </c>
    </row>
    <row r="632">
      <c r="A632" s="4" t="s">
        <v>57</v>
      </c>
      <c r="B632" s="35" t="s">
        <v>1142</v>
      </c>
    </row>
    <row r="633">
      <c r="A633" s="4" t="s">
        <v>57</v>
      </c>
      <c r="B633" s="35" t="s">
        <v>1143</v>
      </c>
    </row>
    <row r="634">
      <c r="A634" s="4" t="s">
        <v>1348</v>
      </c>
      <c r="B634" s="35" t="s">
        <v>1144</v>
      </c>
    </row>
    <row r="635">
      <c r="A635" s="4" t="s">
        <v>57</v>
      </c>
      <c r="B635" s="35" t="s">
        <v>1145</v>
      </c>
      <c r="G635" s="4">
        <v>2.0</v>
      </c>
    </row>
    <row r="636">
      <c r="A636" s="4" t="s">
        <v>57</v>
      </c>
      <c r="B636" s="35" t="s">
        <v>1146</v>
      </c>
      <c r="G636" s="4"/>
    </row>
    <row r="637">
      <c r="A637" s="4" t="s">
        <v>57</v>
      </c>
      <c r="B637" s="35" t="s">
        <v>1147</v>
      </c>
    </row>
    <row r="638">
      <c r="A638" s="4"/>
      <c r="B638" s="35" t="s">
        <v>1148</v>
      </c>
      <c r="F638" s="4">
        <v>1.0</v>
      </c>
    </row>
    <row r="639">
      <c r="A639" s="4" t="s">
        <v>57</v>
      </c>
      <c r="B639" s="35" t="s">
        <v>1149</v>
      </c>
    </row>
    <row r="640">
      <c r="A640" s="4" t="s">
        <v>57</v>
      </c>
      <c r="B640" s="35" t="s">
        <v>1150</v>
      </c>
    </row>
    <row r="641">
      <c r="A641" s="4" t="s">
        <v>57</v>
      </c>
      <c r="B641" s="35" t="s">
        <v>1151</v>
      </c>
    </row>
    <row r="642">
      <c r="A642" s="4"/>
      <c r="B642" s="35" t="s">
        <v>1152</v>
      </c>
      <c r="G642" s="4">
        <v>1.0</v>
      </c>
    </row>
    <row r="643">
      <c r="A643" s="4" t="s">
        <v>57</v>
      </c>
      <c r="B643" s="35" t="s">
        <v>1153</v>
      </c>
    </row>
    <row r="644">
      <c r="A644" s="4" t="s">
        <v>57</v>
      </c>
      <c r="B644" s="35" t="s">
        <v>1154</v>
      </c>
    </row>
    <row r="645">
      <c r="A645" s="4" t="s">
        <v>57</v>
      </c>
      <c r="B645" s="35" t="s">
        <v>1155</v>
      </c>
      <c r="G645" s="4">
        <v>1.0</v>
      </c>
    </row>
    <row r="646">
      <c r="A646" s="4"/>
      <c r="B646" s="35" t="s">
        <v>1156</v>
      </c>
      <c r="G646" s="4">
        <v>1.0</v>
      </c>
    </row>
    <row r="647">
      <c r="A647" s="4" t="s">
        <v>57</v>
      </c>
      <c r="B647" s="35" t="s">
        <v>1157</v>
      </c>
    </row>
    <row r="648">
      <c r="A648" s="4" t="s">
        <v>57</v>
      </c>
      <c r="B648" s="35" t="s">
        <v>1158</v>
      </c>
    </row>
    <row r="649">
      <c r="A649" s="4"/>
      <c r="B649" s="35" t="s">
        <v>1159</v>
      </c>
      <c r="G649" s="4">
        <v>1.0</v>
      </c>
    </row>
    <row r="650">
      <c r="A650" s="4" t="s">
        <v>57</v>
      </c>
      <c r="B650" s="35" t="s">
        <v>1160</v>
      </c>
    </row>
    <row r="651">
      <c r="A651" s="4" t="s">
        <v>1348</v>
      </c>
      <c r="B651" s="35" t="s">
        <v>1000</v>
      </c>
    </row>
    <row r="652">
      <c r="A652" s="4" t="s">
        <v>1348</v>
      </c>
      <c r="B652" s="35" t="s">
        <v>1002</v>
      </c>
    </row>
    <row r="653">
      <c r="A653" s="4" t="s">
        <v>1348</v>
      </c>
      <c r="B653" s="35" t="s">
        <v>1003</v>
      </c>
      <c r="T653" s="4">
        <v>1.0</v>
      </c>
    </row>
    <row r="654">
      <c r="A654" s="4" t="s">
        <v>57</v>
      </c>
      <c r="B654" s="35" t="s">
        <v>1302</v>
      </c>
      <c r="G654" s="4">
        <v>4.0</v>
      </c>
      <c r="M654" s="4">
        <v>1.0</v>
      </c>
    </row>
    <row r="655">
      <c r="A655" s="4" t="s">
        <v>57</v>
      </c>
      <c r="B655" s="35" t="s">
        <v>1161</v>
      </c>
    </row>
    <row r="656">
      <c r="A656" s="4" t="s">
        <v>57</v>
      </c>
      <c r="B656" s="35" t="s">
        <v>1162</v>
      </c>
    </row>
    <row r="657">
      <c r="A657" s="4"/>
      <c r="B657" s="35" t="s">
        <v>1163</v>
      </c>
      <c r="G657" s="4">
        <v>1.0</v>
      </c>
    </row>
    <row r="658">
      <c r="A658" s="4" t="s">
        <v>57</v>
      </c>
      <c r="B658" s="35" t="s">
        <v>1164</v>
      </c>
    </row>
    <row r="659">
      <c r="A659" s="4" t="s">
        <v>1348</v>
      </c>
      <c r="B659" s="35" t="s">
        <v>1165</v>
      </c>
    </row>
    <row r="660">
      <c r="A660" s="4" t="s">
        <v>57</v>
      </c>
      <c r="B660" s="35" t="s">
        <v>1166</v>
      </c>
    </row>
    <row r="661">
      <c r="A661" s="4" t="s">
        <v>1349</v>
      </c>
      <c r="B661" s="35" t="s">
        <v>1167</v>
      </c>
    </row>
    <row r="662">
      <c r="A662" s="4"/>
      <c r="B662" s="35" t="s">
        <v>1168</v>
      </c>
      <c r="G662" s="4">
        <v>1.0</v>
      </c>
    </row>
    <row r="663">
      <c r="A663" s="4" t="s">
        <v>57</v>
      </c>
      <c r="B663" s="35" t="s">
        <v>1083</v>
      </c>
      <c r="G663" s="4">
        <v>2.0</v>
      </c>
    </row>
    <row r="664">
      <c r="A664" s="4"/>
      <c r="B664" s="35" t="s">
        <v>1169</v>
      </c>
      <c r="G664" s="4">
        <v>1.0</v>
      </c>
      <c r="O664" s="4"/>
    </row>
    <row r="665">
      <c r="A665" s="4"/>
      <c r="B665" s="35" t="s">
        <v>1171</v>
      </c>
      <c r="G665" s="4">
        <v>1.0</v>
      </c>
      <c r="O665" s="4"/>
    </row>
    <row r="666">
      <c r="A666" s="4"/>
      <c r="B666" s="35" t="s">
        <v>1170</v>
      </c>
      <c r="O666" s="4">
        <v>4.0</v>
      </c>
    </row>
    <row r="667">
      <c r="A667" s="4" t="s">
        <v>57</v>
      </c>
      <c r="B667" s="35" t="s">
        <v>1172</v>
      </c>
    </row>
    <row r="668">
      <c r="A668" s="4" t="s">
        <v>57</v>
      </c>
      <c r="B668" s="35" t="s">
        <v>1173</v>
      </c>
    </row>
    <row r="669">
      <c r="A669" s="4" t="s">
        <v>57</v>
      </c>
      <c r="B669" s="35" t="s">
        <v>1174</v>
      </c>
    </row>
    <row r="670">
      <c r="A670" s="4" t="s">
        <v>57</v>
      </c>
      <c r="B670" s="35" t="s">
        <v>1175</v>
      </c>
    </row>
    <row r="671">
      <c r="A671" s="4"/>
      <c r="B671" s="35" t="s">
        <v>1176</v>
      </c>
      <c r="F671" s="4"/>
      <c r="G671" s="4">
        <v>1.0</v>
      </c>
      <c r="M671" s="4"/>
    </row>
    <row r="672">
      <c r="A672" s="4"/>
      <c r="B672" s="35" t="s">
        <v>1177</v>
      </c>
      <c r="F672" s="4"/>
      <c r="G672" s="4">
        <v>1.0</v>
      </c>
      <c r="M672" s="4"/>
    </row>
    <row r="673">
      <c r="A673" s="4" t="s">
        <v>1348</v>
      </c>
      <c r="B673" s="35" t="s">
        <v>1178</v>
      </c>
      <c r="F673" s="4">
        <v>1.0</v>
      </c>
      <c r="M673" s="4">
        <v>3.0</v>
      </c>
    </row>
    <row r="674">
      <c r="A674" s="4" t="s">
        <v>57</v>
      </c>
      <c r="B674" s="35" t="s">
        <v>1180</v>
      </c>
    </row>
    <row r="675">
      <c r="A675" s="4"/>
      <c r="B675" s="35" t="s">
        <v>1181</v>
      </c>
      <c r="G675" s="4">
        <v>1.0</v>
      </c>
    </row>
    <row r="676">
      <c r="A676" s="4"/>
      <c r="B676" s="35" t="s">
        <v>1182</v>
      </c>
      <c r="E676" s="4">
        <v>1.0</v>
      </c>
      <c r="G676" s="4">
        <v>1.0</v>
      </c>
      <c r="Z676" s="4">
        <v>1.0</v>
      </c>
    </row>
    <row r="677">
      <c r="A677" s="4" t="s">
        <v>57</v>
      </c>
      <c r="B677" s="35" t="s">
        <v>1183</v>
      </c>
    </row>
    <row r="678">
      <c r="A678" s="4" t="s">
        <v>57</v>
      </c>
      <c r="B678" s="35" t="s">
        <v>1184</v>
      </c>
    </row>
    <row r="679">
      <c r="A679" s="4" t="s">
        <v>57</v>
      </c>
      <c r="B679" s="35" t="s">
        <v>1185</v>
      </c>
      <c r="F679" s="4">
        <v>1.0</v>
      </c>
      <c r="G679" s="4">
        <v>1.0</v>
      </c>
    </row>
    <row r="680">
      <c r="A680" s="4" t="s">
        <v>57</v>
      </c>
      <c r="B680" s="35" t="s">
        <v>1187</v>
      </c>
    </row>
    <row r="681">
      <c r="A681" s="4" t="s">
        <v>57</v>
      </c>
      <c r="B681" s="35" t="s">
        <v>1188</v>
      </c>
    </row>
    <row r="682">
      <c r="A682" s="4"/>
      <c r="B682" s="35" t="s">
        <v>1189</v>
      </c>
      <c r="G682" s="4">
        <v>1.0</v>
      </c>
    </row>
    <row r="683">
      <c r="A683" s="4"/>
      <c r="B683" s="35" t="s">
        <v>1190</v>
      </c>
      <c r="G683" s="4">
        <v>1.0</v>
      </c>
      <c r="Z683" s="4"/>
    </row>
    <row r="684">
      <c r="A684" s="4"/>
      <c r="B684" s="35" t="s">
        <v>1191</v>
      </c>
      <c r="Z684" s="4">
        <v>1.0</v>
      </c>
    </row>
    <row r="685">
      <c r="A685" s="4"/>
      <c r="B685" s="35" t="s">
        <v>1192</v>
      </c>
      <c r="D685" s="4">
        <v>1.0</v>
      </c>
      <c r="G685" s="4">
        <v>1.0</v>
      </c>
    </row>
    <row r="686">
      <c r="A686" s="4" t="s">
        <v>57</v>
      </c>
      <c r="B686" s="35" t="s">
        <v>1193</v>
      </c>
    </row>
    <row r="687">
      <c r="A687" s="4"/>
      <c r="B687" s="35" t="s">
        <v>1194</v>
      </c>
      <c r="G687" s="4">
        <v>1.0</v>
      </c>
    </row>
    <row r="688">
      <c r="A688" s="4" t="s">
        <v>1349</v>
      </c>
      <c r="B688" s="35" t="s">
        <v>1195</v>
      </c>
    </row>
    <row r="689">
      <c r="A689" s="4" t="s">
        <v>57</v>
      </c>
      <c r="B689" s="35" t="s">
        <v>1196</v>
      </c>
    </row>
    <row r="690">
      <c r="A690" s="4"/>
      <c r="B690" s="35" t="s">
        <v>1197</v>
      </c>
      <c r="G690" s="4">
        <v>1.0</v>
      </c>
    </row>
    <row r="691">
      <c r="A691" s="4" t="s">
        <v>57</v>
      </c>
      <c r="B691" s="35" t="s">
        <v>1198</v>
      </c>
    </row>
    <row r="692">
      <c r="A692" s="4"/>
      <c r="B692" s="35" t="s">
        <v>1303</v>
      </c>
      <c r="G692" s="4">
        <v>2.0</v>
      </c>
    </row>
    <row r="693">
      <c r="A693" s="4" t="s">
        <v>57</v>
      </c>
      <c r="B693" s="35" t="s">
        <v>1199</v>
      </c>
    </row>
    <row r="694">
      <c r="A694" s="4" t="s">
        <v>57</v>
      </c>
      <c r="B694" s="35" t="s">
        <v>1200</v>
      </c>
    </row>
    <row r="695">
      <c r="A695" s="4" t="s">
        <v>1348</v>
      </c>
      <c r="B695" s="35" t="s">
        <v>1202</v>
      </c>
    </row>
    <row r="696">
      <c r="A696" s="4" t="s">
        <v>57</v>
      </c>
      <c r="B696" s="35" t="s">
        <v>1203</v>
      </c>
    </row>
    <row r="697">
      <c r="A697" s="4" t="s">
        <v>57</v>
      </c>
      <c r="B697" s="35" t="s">
        <v>1204</v>
      </c>
    </row>
    <row r="698">
      <c r="A698" s="4"/>
      <c r="B698" s="35" t="s">
        <v>1206</v>
      </c>
      <c r="F698" s="4">
        <v>1.0</v>
      </c>
    </row>
    <row r="699">
      <c r="A699" s="4" t="s">
        <v>57</v>
      </c>
      <c r="B699" s="35" t="s">
        <v>1209</v>
      </c>
    </row>
    <row r="700">
      <c r="A700" s="4" t="s">
        <v>57</v>
      </c>
      <c r="B700" s="35" t="s">
        <v>1210</v>
      </c>
    </row>
    <row r="701">
      <c r="A701" s="4" t="s">
        <v>57</v>
      </c>
      <c r="B701" s="35" t="s">
        <v>1211</v>
      </c>
    </row>
    <row r="702">
      <c r="A702" s="4" t="s">
        <v>57</v>
      </c>
      <c r="B702" s="35" t="s">
        <v>211</v>
      </c>
      <c r="M702" s="4">
        <v>2.0</v>
      </c>
    </row>
    <row r="703">
      <c r="B703" s="37"/>
    </row>
    <row r="704">
      <c r="B704" s="37"/>
    </row>
    <row r="705">
      <c r="B705" s="37"/>
    </row>
    <row r="706">
      <c r="B706" s="37"/>
    </row>
    <row r="707">
      <c r="B707" s="37"/>
    </row>
    <row r="708">
      <c r="B708" s="37"/>
    </row>
    <row r="709">
      <c r="B709" s="37"/>
    </row>
    <row r="710">
      <c r="B710" s="37"/>
    </row>
    <row r="711">
      <c r="B711" s="37"/>
    </row>
    <row r="712">
      <c r="B712" s="37"/>
    </row>
    <row r="713">
      <c r="B713" s="37"/>
    </row>
    <row r="714">
      <c r="B714" s="37"/>
    </row>
    <row r="715">
      <c r="B715" s="37"/>
    </row>
    <row r="716">
      <c r="B716" s="37"/>
    </row>
    <row r="717">
      <c r="B717" s="37"/>
    </row>
    <row r="718">
      <c r="B718" s="37"/>
    </row>
    <row r="719">
      <c r="B719" s="37"/>
    </row>
    <row r="720">
      <c r="B720" s="37"/>
    </row>
    <row r="721">
      <c r="B721" s="37"/>
    </row>
    <row r="722">
      <c r="B722" s="37"/>
    </row>
    <row r="723">
      <c r="B723" s="37"/>
    </row>
    <row r="724">
      <c r="B724" s="37"/>
    </row>
    <row r="725">
      <c r="B725" s="37"/>
    </row>
    <row r="726">
      <c r="B726" s="37"/>
    </row>
    <row r="727">
      <c r="B727" s="37"/>
    </row>
    <row r="728">
      <c r="B728" s="37"/>
    </row>
    <row r="729">
      <c r="B729" s="37"/>
    </row>
    <row r="730">
      <c r="B730" s="37"/>
    </row>
    <row r="731">
      <c r="B731" s="37"/>
    </row>
    <row r="732">
      <c r="B732" s="37"/>
    </row>
    <row r="733">
      <c r="B733" s="37"/>
    </row>
    <row r="734">
      <c r="B734" s="37"/>
    </row>
    <row r="735">
      <c r="B735" s="37"/>
    </row>
    <row r="736">
      <c r="B736" s="37"/>
    </row>
    <row r="737">
      <c r="B737" s="37"/>
    </row>
    <row r="738">
      <c r="B738" s="37"/>
    </row>
    <row r="739">
      <c r="B739" s="37"/>
    </row>
    <row r="740">
      <c r="B740" s="37"/>
    </row>
    <row r="741">
      <c r="B741" s="37"/>
    </row>
    <row r="742">
      <c r="B742" s="37"/>
    </row>
    <row r="743">
      <c r="B743" s="37"/>
    </row>
    <row r="744">
      <c r="B744" s="37"/>
    </row>
    <row r="745">
      <c r="B745" s="37"/>
    </row>
    <row r="746">
      <c r="B746" s="37"/>
    </row>
    <row r="747">
      <c r="B747" s="37"/>
    </row>
    <row r="748">
      <c r="B748" s="37"/>
    </row>
    <row r="749">
      <c r="B749" s="37"/>
    </row>
    <row r="750">
      <c r="B750" s="37"/>
    </row>
    <row r="751">
      <c r="B751" s="37"/>
    </row>
    <row r="752">
      <c r="B752" s="37"/>
    </row>
    <row r="753">
      <c r="B753" s="37"/>
    </row>
    <row r="754">
      <c r="B754" s="37"/>
    </row>
    <row r="755">
      <c r="B755" s="37"/>
    </row>
    <row r="756">
      <c r="B756" s="37"/>
    </row>
    <row r="757">
      <c r="B757" s="37"/>
    </row>
    <row r="758">
      <c r="B758" s="37"/>
    </row>
    <row r="759">
      <c r="B759" s="37"/>
    </row>
    <row r="760">
      <c r="B760" s="37"/>
    </row>
    <row r="761">
      <c r="B761" s="37"/>
    </row>
    <row r="762">
      <c r="B762" s="37"/>
    </row>
    <row r="763">
      <c r="B763" s="37"/>
    </row>
    <row r="764">
      <c r="B764" s="37"/>
    </row>
    <row r="765">
      <c r="B765" s="37"/>
    </row>
    <row r="766">
      <c r="B766" s="37"/>
    </row>
    <row r="767">
      <c r="B767" s="37"/>
    </row>
    <row r="768">
      <c r="B768" s="37"/>
    </row>
    <row r="769">
      <c r="B769" s="37"/>
    </row>
    <row r="770">
      <c r="B770" s="37"/>
    </row>
    <row r="771">
      <c r="B771" s="37"/>
    </row>
    <row r="772">
      <c r="B772" s="37"/>
    </row>
    <row r="773">
      <c r="B773" s="37"/>
    </row>
    <row r="774">
      <c r="B774" s="37"/>
    </row>
    <row r="775">
      <c r="B775" s="37"/>
    </row>
    <row r="776">
      <c r="B776" s="37"/>
    </row>
    <row r="777">
      <c r="B777" s="37"/>
    </row>
    <row r="778">
      <c r="B778" s="37"/>
    </row>
    <row r="779">
      <c r="B779" s="37"/>
    </row>
    <row r="780">
      <c r="B780" s="37"/>
    </row>
    <row r="781">
      <c r="B781" s="37"/>
    </row>
    <row r="782">
      <c r="B782" s="37"/>
    </row>
    <row r="783">
      <c r="B783" s="37"/>
    </row>
    <row r="784">
      <c r="B784" s="37"/>
    </row>
    <row r="785">
      <c r="B785" s="37"/>
    </row>
    <row r="786">
      <c r="B786" s="37"/>
    </row>
    <row r="787">
      <c r="B787" s="37"/>
    </row>
    <row r="788">
      <c r="B788" s="37"/>
    </row>
    <row r="789">
      <c r="B789" s="37"/>
    </row>
    <row r="790">
      <c r="B790" s="37"/>
    </row>
    <row r="791">
      <c r="B791" s="37"/>
    </row>
    <row r="792">
      <c r="B792" s="37"/>
    </row>
    <row r="793">
      <c r="B793" s="37"/>
    </row>
    <row r="794">
      <c r="B794" s="37"/>
    </row>
    <row r="795">
      <c r="B795" s="37"/>
    </row>
    <row r="796">
      <c r="B796" s="37"/>
    </row>
    <row r="797">
      <c r="B797" s="37"/>
    </row>
    <row r="798">
      <c r="B798" s="37"/>
    </row>
    <row r="799">
      <c r="B799" s="37"/>
    </row>
    <row r="800">
      <c r="B800" s="37"/>
    </row>
    <row r="801">
      <c r="B801" s="37"/>
    </row>
    <row r="802">
      <c r="B802" s="37"/>
    </row>
    <row r="803">
      <c r="B803" s="37"/>
    </row>
    <row r="804">
      <c r="B804" s="37"/>
    </row>
    <row r="805">
      <c r="B805" s="37"/>
    </row>
    <row r="806">
      <c r="B806" s="37"/>
    </row>
    <row r="807">
      <c r="B807" s="37"/>
    </row>
    <row r="808">
      <c r="B808" s="37"/>
    </row>
    <row r="809">
      <c r="B809" s="37"/>
    </row>
    <row r="810">
      <c r="B810" s="37"/>
    </row>
    <row r="811">
      <c r="B811" s="37"/>
    </row>
    <row r="812">
      <c r="B812" s="37"/>
    </row>
    <row r="813">
      <c r="B813" s="37"/>
    </row>
    <row r="814">
      <c r="B814" s="37"/>
    </row>
    <row r="815">
      <c r="B815" s="37"/>
    </row>
    <row r="816">
      <c r="B816" s="37"/>
    </row>
    <row r="817">
      <c r="B817" s="37"/>
    </row>
    <row r="818">
      <c r="B818" s="37"/>
    </row>
    <row r="819">
      <c r="B819" s="37"/>
    </row>
    <row r="820">
      <c r="B820" s="37"/>
    </row>
    <row r="821">
      <c r="B821" s="37"/>
    </row>
    <row r="822">
      <c r="B822" s="37"/>
    </row>
    <row r="823">
      <c r="B823" s="37"/>
    </row>
    <row r="824">
      <c r="B824" s="37"/>
    </row>
    <row r="825">
      <c r="B825" s="37"/>
    </row>
    <row r="826">
      <c r="B826" s="37"/>
    </row>
    <row r="827">
      <c r="B827" s="37"/>
    </row>
    <row r="828">
      <c r="B828" s="37"/>
    </row>
    <row r="829">
      <c r="B829" s="37"/>
    </row>
    <row r="830">
      <c r="B830" s="37"/>
    </row>
    <row r="831">
      <c r="B831" s="37"/>
    </row>
    <row r="832">
      <c r="B832" s="37"/>
    </row>
    <row r="833">
      <c r="B833" s="37"/>
    </row>
    <row r="834">
      <c r="B834" s="37"/>
    </row>
    <row r="835">
      <c r="B835" s="37"/>
    </row>
    <row r="836">
      <c r="B836" s="37"/>
    </row>
    <row r="837">
      <c r="B837" s="37"/>
    </row>
    <row r="838">
      <c r="B838" s="37"/>
    </row>
    <row r="839">
      <c r="B839" s="37"/>
    </row>
    <row r="840">
      <c r="B840" s="37"/>
    </row>
    <row r="841">
      <c r="B841" s="37"/>
    </row>
    <row r="842">
      <c r="B842" s="37"/>
    </row>
    <row r="843">
      <c r="B843" s="37"/>
    </row>
    <row r="844">
      <c r="B844" s="37"/>
    </row>
    <row r="845">
      <c r="B845" s="37"/>
    </row>
    <row r="846">
      <c r="B846" s="37"/>
    </row>
    <row r="847">
      <c r="B847" s="37"/>
    </row>
    <row r="848">
      <c r="B848" s="37"/>
    </row>
    <row r="849">
      <c r="B849" s="37"/>
    </row>
    <row r="850">
      <c r="B850" s="37"/>
    </row>
    <row r="851">
      <c r="B851" s="37"/>
    </row>
    <row r="852">
      <c r="B852" s="37"/>
    </row>
    <row r="853">
      <c r="B853" s="37"/>
    </row>
    <row r="854">
      <c r="B854" s="37"/>
    </row>
    <row r="855">
      <c r="B855" s="37"/>
    </row>
    <row r="856">
      <c r="B856" s="37"/>
    </row>
    <row r="857">
      <c r="B857" s="37"/>
    </row>
    <row r="858">
      <c r="B858" s="37"/>
    </row>
    <row r="859">
      <c r="B859" s="37"/>
    </row>
    <row r="860">
      <c r="B860" s="37"/>
    </row>
    <row r="861">
      <c r="B861" s="37"/>
    </row>
    <row r="862">
      <c r="B862" s="37"/>
    </row>
    <row r="863">
      <c r="B863" s="37"/>
    </row>
    <row r="864">
      <c r="B864" s="37"/>
    </row>
    <row r="865">
      <c r="B865" s="37"/>
    </row>
    <row r="866">
      <c r="B866" s="37"/>
    </row>
    <row r="867">
      <c r="B867" s="37"/>
    </row>
    <row r="868">
      <c r="B868" s="37"/>
    </row>
    <row r="869">
      <c r="B869" s="37"/>
    </row>
    <row r="870">
      <c r="B870" s="37"/>
    </row>
    <row r="871">
      <c r="B871" s="37"/>
    </row>
    <row r="872">
      <c r="B872" s="37"/>
    </row>
    <row r="873">
      <c r="B873" s="37"/>
    </row>
    <row r="874">
      <c r="B874" s="37"/>
    </row>
    <row r="875">
      <c r="B875" s="37"/>
    </row>
    <row r="876">
      <c r="B876" s="37"/>
    </row>
    <row r="877">
      <c r="B877" s="37"/>
    </row>
    <row r="878">
      <c r="B878" s="37"/>
    </row>
    <row r="879">
      <c r="B879" s="37"/>
    </row>
    <row r="880">
      <c r="B880" s="37"/>
    </row>
    <row r="881">
      <c r="B881" s="37"/>
    </row>
    <row r="882">
      <c r="B882" s="37"/>
    </row>
    <row r="883">
      <c r="B883" s="37"/>
    </row>
    <row r="884">
      <c r="B884" s="37"/>
    </row>
    <row r="885">
      <c r="B885" s="37"/>
    </row>
    <row r="886">
      <c r="B886" s="37"/>
    </row>
    <row r="887">
      <c r="B887" s="37"/>
    </row>
    <row r="888">
      <c r="B888" s="37"/>
    </row>
    <row r="889">
      <c r="B889" s="37"/>
    </row>
    <row r="890">
      <c r="B890" s="37"/>
    </row>
    <row r="891">
      <c r="B891" s="37"/>
    </row>
    <row r="892">
      <c r="B892" s="37"/>
    </row>
    <row r="893">
      <c r="B893" s="37"/>
    </row>
    <row r="894">
      <c r="B894" s="37"/>
    </row>
    <row r="895">
      <c r="B895" s="37"/>
    </row>
    <row r="896">
      <c r="B896" s="37"/>
    </row>
    <row r="897">
      <c r="B897" s="37"/>
    </row>
    <row r="898">
      <c r="B898" s="37"/>
    </row>
    <row r="899">
      <c r="B899" s="37"/>
    </row>
    <row r="900">
      <c r="B900" s="37"/>
    </row>
    <row r="901">
      <c r="B901" s="37"/>
    </row>
    <row r="902">
      <c r="B902" s="37"/>
    </row>
    <row r="903">
      <c r="B903" s="37"/>
    </row>
    <row r="904">
      <c r="B904" s="37"/>
    </row>
    <row r="905">
      <c r="B905" s="37"/>
    </row>
    <row r="906">
      <c r="B906" s="37"/>
    </row>
    <row r="907">
      <c r="B907" s="37"/>
    </row>
    <row r="908">
      <c r="B908" s="37"/>
    </row>
    <row r="909">
      <c r="B909" s="37"/>
    </row>
    <row r="910">
      <c r="B910" s="37"/>
    </row>
    <row r="911">
      <c r="B911" s="37"/>
    </row>
    <row r="912">
      <c r="B912" s="37"/>
    </row>
    <row r="913">
      <c r="B913" s="37"/>
    </row>
    <row r="914">
      <c r="B914" s="37"/>
    </row>
    <row r="915">
      <c r="B915" s="37"/>
    </row>
    <row r="916">
      <c r="B916" s="37"/>
    </row>
    <row r="917">
      <c r="B917" s="37"/>
    </row>
    <row r="918">
      <c r="B918" s="37"/>
    </row>
    <row r="919">
      <c r="B919" s="37"/>
    </row>
    <row r="920">
      <c r="B920" s="37"/>
    </row>
    <row r="921">
      <c r="B921" s="37"/>
    </row>
    <row r="922">
      <c r="B922" s="37"/>
    </row>
    <row r="923">
      <c r="B923" s="37"/>
    </row>
    <row r="924">
      <c r="B924" s="37"/>
    </row>
    <row r="925">
      <c r="B925" s="37"/>
    </row>
    <row r="926">
      <c r="B926" s="37"/>
    </row>
    <row r="927">
      <c r="B927" s="37"/>
    </row>
    <row r="928">
      <c r="B928" s="37"/>
    </row>
    <row r="929">
      <c r="B929" s="37"/>
    </row>
    <row r="930">
      <c r="B930" s="37"/>
    </row>
    <row r="931">
      <c r="B931" s="37"/>
    </row>
    <row r="932">
      <c r="B932" s="37"/>
    </row>
    <row r="933">
      <c r="B933" s="37"/>
    </row>
    <row r="934">
      <c r="B934" s="37"/>
    </row>
    <row r="935">
      <c r="B935" s="37"/>
    </row>
    <row r="936">
      <c r="B936" s="37"/>
    </row>
    <row r="937">
      <c r="B937" s="37"/>
    </row>
    <row r="938">
      <c r="B938" s="37"/>
    </row>
    <row r="939">
      <c r="B939" s="37"/>
    </row>
    <row r="940">
      <c r="B940" s="37"/>
    </row>
    <row r="941">
      <c r="B941" s="37"/>
    </row>
    <row r="942">
      <c r="B942" s="37"/>
    </row>
    <row r="943">
      <c r="B943" s="37"/>
    </row>
    <row r="944">
      <c r="B944" s="37"/>
    </row>
    <row r="945">
      <c r="B945" s="37"/>
    </row>
    <row r="946">
      <c r="B946" s="37"/>
    </row>
    <row r="947">
      <c r="B947" s="37"/>
    </row>
    <row r="948">
      <c r="B948" s="37"/>
    </row>
    <row r="949">
      <c r="B949" s="37"/>
    </row>
    <row r="950">
      <c r="B950" s="37"/>
    </row>
    <row r="951">
      <c r="B951" s="37"/>
    </row>
    <row r="952">
      <c r="B952" s="37"/>
    </row>
    <row r="953">
      <c r="B953" s="37"/>
    </row>
    <row r="954">
      <c r="B954" s="37"/>
    </row>
    <row r="955">
      <c r="B955" s="37"/>
    </row>
    <row r="956">
      <c r="B956" s="37"/>
    </row>
    <row r="957">
      <c r="B957" s="37"/>
    </row>
    <row r="958">
      <c r="B958" s="37"/>
    </row>
    <row r="959">
      <c r="B959" s="37"/>
    </row>
    <row r="960">
      <c r="B960" s="37"/>
    </row>
    <row r="961">
      <c r="B961" s="37"/>
    </row>
    <row r="962">
      <c r="B962" s="37"/>
    </row>
    <row r="963">
      <c r="B963" s="37"/>
    </row>
    <row r="964">
      <c r="B964" s="37"/>
    </row>
    <row r="965">
      <c r="B965" s="37"/>
    </row>
    <row r="966">
      <c r="B966" s="37"/>
    </row>
    <row r="967">
      <c r="B967" s="37"/>
    </row>
    <row r="968">
      <c r="B968" s="37"/>
    </row>
    <row r="969">
      <c r="B969" s="37"/>
    </row>
    <row r="970">
      <c r="B970" s="37"/>
    </row>
    <row r="971">
      <c r="B971" s="37"/>
    </row>
    <row r="972">
      <c r="B972" s="37"/>
    </row>
    <row r="973">
      <c r="B973" s="37"/>
    </row>
    <row r="974">
      <c r="B974" s="37"/>
    </row>
    <row r="975">
      <c r="B975" s="37"/>
    </row>
    <row r="976">
      <c r="B976" s="37"/>
    </row>
    <row r="977">
      <c r="B977" s="37"/>
    </row>
    <row r="978">
      <c r="B978" s="37"/>
    </row>
    <row r="979">
      <c r="B979" s="37"/>
    </row>
    <row r="980">
      <c r="B980" s="37"/>
    </row>
    <row r="981">
      <c r="B981" s="37"/>
    </row>
    <row r="982">
      <c r="B982" s="37"/>
    </row>
    <row r="983">
      <c r="B983" s="37"/>
    </row>
    <row r="984">
      <c r="B984" s="37"/>
    </row>
    <row r="985">
      <c r="B985" s="37"/>
    </row>
    <row r="986">
      <c r="B986" s="37"/>
    </row>
    <row r="987">
      <c r="B987" s="37"/>
    </row>
    <row r="988">
      <c r="B988" s="37"/>
    </row>
    <row r="989">
      <c r="B989" s="37"/>
    </row>
    <row r="990">
      <c r="B990" s="37"/>
    </row>
    <row r="991">
      <c r="B991" s="37"/>
    </row>
    <row r="992">
      <c r="B992" s="37"/>
    </row>
    <row r="993">
      <c r="B993" s="37"/>
    </row>
    <row r="994">
      <c r="B994" s="37"/>
    </row>
    <row r="995">
      <c r="B995" s="37"/>
    </row>
    <row r="996">
      <c r="B996" s="37"/>
    </row>
    <row r="997">
      <c r="B997" s="37"/>
    </row>
    <row r="998">
      <c r="B998" s="37"/>
    </row>
    <row r="999">
      <c r="B999" s="37"/>
    </row>
    <row r="1000">
      <c r="B1000" s="37"/>
    </row>
    <row r="1001">
      <c r="B1001" s="37"/>
    </row>
    <row r="1002">
      <c r="B1002" s="37"/>
    </row>
    <row r="1003">
      <c r="B1003" s="37"/>
    </row>
    <row r="1004">
      <c r="B1004" s="37"/>
    </row>
    <row r="1005">
      <c r="B1005" s="37"/>
    </row>
    <row r="1006">
      <c r="B1006" s="37"/>
    </row>
    <row r="1007">
      <c r="B1007" s="37"/>
    </row>
    <row r="1008">
      <c r="B1008" s="37"/>
    </row>
    <row r="1009">
      <c r="B1009" s="37"/>
    </row>
    <row r="1010">
      <c r="B1010" s="37"/>
    </row>
    <row r="1011">
      <c r="B1011" s="37"/>
    </row>
    <row r="1012">
      <c r="B1012" s="37"/>
    </row>
    <row r="1013">
      <c r="B1013" s="37"/>
    </row>
    <row r="1014">
      <c r="B1014" s="37"/>
    </row>
    <row r="1015">
      <c r="B1015" s="37"/>
    </row>
    <row r="1016">
      <c r="B1016" s="37"/>
    </row>
    <row r="1017">
      <c r="B1017" s="37"/>
    </row>
    <row r="1018">
      <c r="B1018" s="37"/>
    </row>
    <row r="1019">
      <c r="B1019" s="37"/>
    </row>
    <row r="1020">
      <c r="B1020" s="37"/>
    </row>
    <row r="1021">
      <c r="B1021" s="37"/>
    </row>
    <row r="1022">
      <c r="B1022" s="37"/>
    </row>
    <row r="1023">
      <c r="B1023" s="37"/>
    </row>
    <row r="1024">
      <c r="B1024" s="37"/>
    </row>
    <row r="1025">
      <c r="B1025" s="37"/>
    </row>
    <row r="1026">
      <c r="B1026" s="37"/>
    </row>
    <row r="1027">
      <c r="B1027" s="37"/>
    </row>
    <row r="1028">
      <c r="B1028" s="37"/>
    </row>
    <row r="1029">
      <c r="B1029" s="37"/>
    </row>
    <row r="1030">
      <c r="B1030" s="37"/>
    </row>
    <row r="1031">
      <c r="B1031" s="37"/>
    </row>
    <row r="1032">
      <c r="B1032" s="37"/>
    </row>
    <row r="1033">
      <c r="B1033" s="37"/>
    </row>
    <row r="1034">
      <c r="B1034" s="37"/>
    </row>
    <row r="1035">
      <c r="B1035" s="37"/>
    </row>
    <row r="1036">
      <c r="B1036" s="37"/>
    </row>
    <row r="1037">
      <c r="B1037" s="37"/>
    </row>
    <row r="1038">
      <c r="B1038" s="37"/>
    </row>
    <row r="1039">
      <c r="B1039" s="37"/>
    </row>
    <row r="1040">
      <c r="B1040" s="37"/>
    </row>
    <row r="1041">
      <c r="B1041" s="37"/>
    </row>
    <row r="1042">
      <c r="B1042" s="37"/>
    </row>
    <row r="1043">
      <c r="B1043" s="37"/>
    </row>
    <row r="1044">
      <c r="B1044" s="37"/>
    </row>
    <row r="1045">
      <c r="B1045" s="37"/>
    </row>
    <row r="1046">
      <c r="B1046" s="37"/>
    </row>
    <row r="1047">
      <c r="B1047" s="37"/>
    </row>
    <row r="1048">
      <c r="B1048" s="37"/>
    </row>
    <row r="1049">
      <c r="B1049" s="37"/>
    </row>
    <row r="1050">
      <c r="B1050" s="37"/>
    </row>
    <row r="1051">
      <c r="B1051" s="37"/>
    </row>
    <row r="1052">
      <c r="B1052" s="37"/>
    </row>
    <row r="1053">
      <c r="B1053" s="37"/>
    </row>
    <row r="1054">
      <c r="B1054" s="37"/>
    </row>
    <row r="1055">
      <c r="B1055" s="37"/>
    </row>
    <row r="1056">
      <c r="B1056" s="37"/>
    </row>
    <row r="1057">
      <c r="B1057" s="37"/>
    </row>
    <row r="1058">
      <c r="B1058" s="37"/>
    </row>
    <row r="1059">
      <c r="B1059" s="37"/>
    </row>
    <row r="1060">
      <c r="B1060" s="37"/>
    </row>
    <row r="1061">
      <c r="B1061" s="37"/>
    </row>
    <row r="1062">
      <c r="B1062" s="37"/>
    </row>
    <row r="1063">
      <c r="B1063" s="37"/>
    </row>
    <row r="1064">
      <c r="B1064" s="37"/>
    </row>
    <row r="1065">
      <c r="B1065" s="37"/>
    </row>
    <row r="1066">
      <c r="B1066" s="37"/>
    </row>
    <row r="1067">
      <c r="B1067" s="37"/>
    </row>
    <row r="1068">
      <c r="B1068" s="37"/>
    </row>
    <row r="1069">
      <c r="B1069" s="37"/>
    </row>
    <row r="1070">
      <c r="B1070" s="37"/>
    </row>
    <row r="1071">
      <c r="B1071" s="37"/>
    </row>
    <row r="1072">
      <c r="B1072" s="37"/>
    </row>
    <row r="1073">
      <c r="B1073" s="37"/>
    </row>
    <row r="1074">
      <c r="B1074" s="37"/>
    </row>
    <row r="1075">
      <c r="B1075" s="37"/>
    </row>
    <row r="1076">
      <c r="B1076" s="37"/>
    </row>
    <row r="1077">
      <c r="B1077" s="37"/>
    </row>
    <row r="1078">
      <c r="B1078" s="37"/>
    </row>
    <row r="1079">
      <c r="B1079" s="37"/>
    </row>
    <row r="1080">
      <c r="B1080" s="37"/>
    </row>
    <row r="1081">
      <c r="B1081" s="37"/>
    </row>
    <row r="1082">
      <c r="B1082" s="37"/>
    </row>
    <row r="1083">
      <c r="B1083" s="37"/>
    </row>
    <row r="1084">
      <c r="B1084" s="37"/>
    </row>
    <row r="1085">
      <c r="B1085" s="37"/>
    </row>
    <row r="1086">
      <c r="B1086" s="37"/>
    </row>
    <row r="1087">
      <c r="B1087" s="37"/>
    </row>
    <row r="1088">
      <c r="B1088" s="37"/>
    </row>
    <row r="1089">
      <c r="B1089" s="37"/>
    </row>
    <row r="1090">
      <c r="B1090" s="37"/>
    </row>
    <row r="1091">
      <c r="B1091" s="37"/>
    </row>
    <row r="1092">
      <c r="B1092" s="37"/>
    </row>
    <row r="1093">
      <c r="B1093" s="37"/>
    </row>
    <row r="1094">
      <c r="B1094" s="37"/>
    </row>
    <row r="1095">
      <c r="B1095" s="37"/>
    </row>
    <row r="1096">
      <c r="B1096" s="37"/>
    </row>
    <row r="1097">
      <c r="B1097" s="37"/>
    </row>
    <row r="1098">
      <c r="B1098" s="37"/>
    </row>
    <row r="1099">
      <c r="B1099" s="37"/>
    </row>
    <row r="1100">
      <c r="B1100" s="37"/>
    </row>
    <row r="1101">
      <c r="B1101" s="37"/>
    </row>
    <row r="1102">
      <c r="B1102" s="37"/>
    </row>
    <row r="1103">
      <c r="B1103" s="37"/>
    </row>
    <row r="1104">
      <c r="B1104" s="37"/>
    </row>
    <row r="1105">
      <c r="B1105" s="37"/>
    </row>
    <row r="1106">
      <c r="B1106" s="37"/>
    </row>
    <row r="1107">
      <c r="B1107" s="37"/>
    </row>
    <row r="1108">
      <c r="B1108" s="37"/>
    </row>
    <row r="1109">
      <c r="B1109" s="37"/>
    </row>
    <row r="1110">
      <c r="B1110" s="37"/>
    </row>
    <row r="1111">
      <c r="B1111" s="37"/>
    </row>
    <row r="1112">
      <c r="B1112" s="37"/>
    </row>
    <row r="1113">
      <c r="B1113" s="37"/>
    </row>
    <row r="1114">
      <c r="B1114" s="37"/>
    </row>
    <row r="1115">
      <c r="B1115" s="37"/>
    </row>
    <row r="1116">
      <c r="B1116" s="37"/>
    </row>
    <row r="1117">
      <c r="B1117" s="37"/>
    </row>
    <row r="1118">
      <c r="B1118" s="37"/>
    </row>
    <row r="1119">
      <c r="B1119" s="37"/>
    </row>
    <row r="1120">
      <c r="B1120" s="37"/>
    </row>
    <row r="1121">
      <c r="B1121" s="37"/>
    </row>
    <row r="1122">
      <c r="B1122" s="37"/>
    </row>
    <row r="1123">
      <c r="B1123" s="37"/>
    </row>
    <row r="1124">
      <c r="B1124" s="37"/>
    </row>
    <row r="1125">
      <c r="B1125" s="37"/>
    </row>
    <row r="1126">
      <c r="B1126" s="37"/>
    </row>
    <row r="1127">
      <c r="B1127" s="37"/>
    </row>
    <row r="1128">
      <c r="B1128" s="37"/>
    </row>
    <row r="1129">
      <c r="B1129" s="37"/>
    </row>
    <row r="1130">
      <c r="B1130" s="37"/>
    </row>
    <row r="1131">
      <c r="B1131" s="37"/>
    </row>
    <row r="1132">
      <c r="B1132" s="37"/>
    </row>
    <row r="1133">
      <c r="B1133" s="37"/>
    </row>
    <row r="1134">
      <c r="B1134" s="37"/>
    </row>
    <row r="1135">
      <c r="B1135" s="37"/>
    </row>
    <row r="1136">
      <c r="B1136" s="37"/>
    </row>
    <row r="1137">
      <c r="B1137" s="37"/>
    </row>
    <row r="1138">
      <c r="B1138" s="37"/>
    </row>
    <row r="1139">
      <c r="B1139" s="37"/>
    </row>
    <row r="1140">
      <c r="B1140" s="37"/>
    </row>
    <row r="1141">
      <c r="B1141" s="37"/>
    </row>
    <row r="1142">
      <c r="B1142" s="37"/>
    </row>
    <row r="1143">
      <c r="B1143" s="37"/>
    </row>
    <row r="1144">
      <c r="B1144" s="37"/>
    </row>
    <row r="1145">
      <c r="B1145" s="37"/>
    </row>
    <row r="1146">
      <c r="B1146" s="37"/>
    </row>
    <row r="1147">
      <c r="B1147" s="37"/>
    </row>
    <row r="1148">
      <c r="B1148" s="37"/>
    </row>
    <row r="1149">
      <c r="B1149" s="37"/>
    </row>
    <row r="1150">
      <c r="B1150" s="37"/>
    </row>
    <row r="1151">
      <c r="B1151" s="37"/>
    </row>
    <row r="1152">
      <c r="B1152" s="37"/>
    </row>
    <row r="1153">
      <c r="B1153" s="37"/>
    </row>
    <row r="1154">
      <c r="B1154" s="37"/>
    </row>
    <row r="1155">
      <c r="B1155" s="37"/>
    </row>
    <row r="1156">
      <c r="B1156" s="37"/>
    </row>
    <row r="1157">
      <c r="B1157" s="37"/>
    </row>
    <row r="1158">
      <c r="B1158" s="37"/>
    </row>
    <row r="1159">
      <c r="B1159" s="37"/>
    </row>
    <row r="1160">
      <c r="B1160" s="37"/>
    </row>
    <row r="1161">
      <c r="B1161" s="37"/>
    </row>
    <row r="1162">
      <c r="B1162" s="37"/>
    </row>
    <row r="1163">
      <c r="B1163" s="37"/>
    </row>
    <row r="1164">
      <c r="B1164" s="37"/>
    </row>
    <row r="1165">
      <c r="B1165" s="37"/>
    </row>
    <row r="1166">
      <c r="B1166" s="37"/>
    </row>
    <row r="1167">
      <c r="B1167" s="37"/>
    </row>
    <row r="1168">
      <c r="B1168" s="37"/>
    </row>
    <row r="1169">
      <c r="B1169" s="37"/>
    </row>
    <row r="1170">
      <c r="B1170" s="37"/>
    </row>
    <row r="1171">
      <c r="B1171" s="37"/>
    </row>
    <row r="1172">
      <c r="B1172" s="37"/>
    </row>
    <row r="1173">
      <c r="B1173" s="37"/>
    </row>
    <row r="1174">
      <c r="B1174" s="37"/>
    </row>
    <row r="1175">
      <c r="B1175" s="37"/>
    </row>
    <row r="1176">
      <c r="B1176" s="37"/>
    </row>
    <row r="1177">
      <c r="B1177" s="37"/>
    </row>
    <row r="1178">
      <c r="B1178" s="37"/>
    </row>
    <row r="1179">
      <c r="B1179" s="37"/>
    </row>
    <row r="1180">
      <c r="B1180" s="37"/>
    </row>
    <row r="1181">
      <c r="B1181" s="37"/>
    </row>
    <row r="1182">
      <c r="B1182" s="37"/>
    </row>
    <row r="1183">
      <c r="B1183" s="37"/>
    </row>
    <row r="1184">
      <c r="B1184" s="37"/>
    </row>
    <row r="1185">
      <c r="B1185" s="37"/>
    </row>
    <row r="1186">
      <c r="B1186" s="37"/>
    </row>
    <row r="1187">
      <c r="B1187" s="37"/>
    </row>
    <row r="1188">
      <c r="B1188" s="37"/>
    </row>
    <row r="1189">
      <c r="B1189" s="37"/>
    </row>
    <row r="1190">
      <c r="B1190" s="37"/>
    </row>
    <row r="1191">
      <c r="B1191" s="37"/>
    </row>
    <row r="1192">
      <c r="B1192" s="37"/>
    </row>
    <row r="1193">
      <c r="B1193" s="37"/>
    </row>
    <row r="1194">
      <c r="B1194" s="37"/>
    </row>
    <row r="1195">
      <c r="B1195" s="37"/>
    </row>
    <row r="1196">
      <c r="B1196" s="37"/>
    </row>
    <row r="1197">
      <c r="B1197" s="37"/>
    </row>
    <row r="1198">
      <c r="B1198" s="37"/>
    </row>
    <row r="1199">
      <c r="B1199" s="37"/>
    </row>
    <row r="1200">
      <c r="B1200" s="37"/>
    </row>
    <row r="1201">
      <c r="B1201" s="37"/>
    </row>
    <row r="1202">
      <c r="B1202" s="37"/>
    </row>
    <row r="1203">
      <c r="B1203" s="37"/>
    </row>
    <row r="1204">
      <c r="B1204" s="37"/>
    </row>
    <row r="1205">
      <c r="B1205" s="37"/>
    </row>
    <row r="1206">
      <c r="B1206" s="37"/>
    </row>
    <row r="1207">
      <c r="B1207" s="37"/>
    </row>
    <row r="1208">
      <c r="B1208" s="37"/>
    </row>
    <row r="1209">
      <c r="B1209" s="37"/>
    </row>
    <row r="1210">
      <c r="B1210" s="37"/>
    </row>
    <row r="1211">
      <c r="B1211" s="37"/>
    </row>
    <row r="1212">
      <c r="B1212" s="37"/>
    </row>
    <row r="1213">
      <c r="B1213" s="37"/>
    </row>
    <row r="1214">
      <c r="B1214" s="37"/>
    </row>
    <row r="1215">
      <c r="B1215" s="37"/>
    </row>
    <row r="1216">
      <c r="B1216" s="37"/>
    </row>
    <row r="1217">
      <c r="B1217" s="37"/>
    </row>
    <row r="1218">
      <c r="B1218" s="37"/>
    </row>
    <row r="1219">
      <c r="B1219" s="37"/>
    </row>
    <row r="1220">
      <c r="B1220" s="37"/>
    </row>
    <row r="1221">
      <c r="B1221" s="37"/>
    </row>
    <row r="1222">
      <c r="B1222" s="37"/>
    </row>
    <row r="1223">
      <c r="B1223" s="37"/>
    </row>
    <row r="1224">
      <c r="B1224" s="37"/>
    </row>
    <row r="1225">
      <c r="B1225" s="37"/>
    </row>
    <row r="1226">
      <c r="B1226" s="37"/>
    </row>
    <row r="1227">
      <c r="B1227" s="37"/>
    </row>
    <row r="1228">
      <c r="B1228" s="37"/>
    </row>
    <row r="1229">
      <c r="B1229" s="37"/>
    </row>
    <row r="1230">
      <c r="B1230" s="37"/>
    </row>
    <row r="1231">
      <c r="B1231" s="37"/>
    </row>
    <row r="1232">
      <c r="B1232" s="37"/>
    </row>
    <row r="1233">
      <c r="B1233" s="37"/>
    </row>
    <row r="1234">
      <c r="B1234" s="37"/>
    </row>
    <row r="1235">
      <c r="B1235" s="37"/>
    </row>
    <row r="1236">
      <c r="B1236" s="37"/>
    </row>
    <row r="1237">
      <c r="B1237" s="37"/>
    </row>
    <row r="1238">
      <c r="B1238" s="37"/>
    </row>
    <row r="1239">
      <c r="B1239" s="37"/>
    </row>
    <row r="1240">
      <c r="B1240" s="37"/>
    </row>
    <row r="1241">
      <c r="B1241" s="37"/>
    </row>
    <row r="1242">
      <c r="B1242" s="37"/>
    </row>
    <row r="1243">
      <c r="B1243" s="37"/>
    </row>
    <row r="1244">
      <c r="B1244" s="37"/>
    </row>
    <row r="1245">
      <c r="B1245" s="37"/>
    </row>
    <row r="1246">
      <c r="B1246" s="37"/>
    </row>
    <row r="1247">
      <c r="B1247" s="37"/>
    </row>
    <row r="1248">
      <c r="B1248" s="37"/>
    </row>
    <row r="1249">
      <c r="B1249" s="37"/>
    </row>
    <row r="1250">
      <c r="B1250" s="37"/>
    </row>
    <row r="1251">
      <c r="B1251" s="37"/>
    </row>
    <row r="1252">
      <c r="B1252" s="37"/>
    </row>
    <row r="1253">
      <c r="B1253" s="37"/>
    </row>
    <row r="1254">
      <c r="B1254" s="37"/>
    </row>
    <row r="1255">
      <c r="B1255" s="37"/>
    </row>
    <row r="1256">
      <c r="B1256" s="37"/>
    </row>
    <row r="1257">
      <c r="B1257" s="37"/>
    </row>
    <row r="1258">
      <c r="B1258" s="37"/>
    </row>
    <row r="1259">
      <c r="B1259" s="37"/>
    </row>
    <row r="1260">
      <c r="B1260" s="37"/>
    </row>
    <row r="1261">
      <c r="B1261" s="37"/>
    </row>
    <row r="1262">
      <c r="B1262" s="37"/>
    </row>
    <row r="1263">
      <c r="B1263" s="37"/>
    </row>
    <row r="1264">
      <c r="B1264" s="37"/>
    </row>
    <row r="1265">
      <c r="B1265" s="37"/>
    </row>
    <row r="1266">
      <c r="B1266" s="37"/>
    </row>
    <row r="1267">
      <c r="B1267" s="37"/>
    </row>
    <row r="1268">
      <c r="B1268" s="37"/>
    </row>
    <row r="1269">
      <c r="B1269" s="37"/>
    </row>
    <row r="1270">
      <c r="B1270" s="37"/>
    </row>
    <row r="1271">
      <c r="B1271" s="37"/>
    </row>
    <row r="1272">
      <c r="B1272" s="37"/>
    </row>
    <row r="1273">
      <c r="B1273" s="37"/>
    </row>
    <row r="1274">
      <c r="B1274" s="37"/>
    </row>
    <row r="1275">
      <c r="B1275" s="37"/>
    </row>
    <row r="1276">
      <c r="B1276" s="37"/>
    </row>
    <row r="1277">
      <c r="B1277" s="37"/>
    </row>
    <row r="1278">
      <c r="B1278" s="37"/>
    </row>
    <row r="1279">
      <c r="B1279" s="37"/>
    </row>
    <row r="1280">
      <c r="B1280" s="37"/>
    </row>
    <row r="1281">
      <c r="B1281" s="37"/>
    </row>
    <row r="1282">
      <c r="B1282" s="37"/>
    </row>
    <row r="1283">
      <c r="B1283" s="37"/>
    </row>
    <row r="1284">
      <c r="B1284" s="37"/>
    </row>
    <row r="1285">
      <c r="B1285" s="37"/>
    </row>
    <row r="1286">
      <c r="B1286" s="37"/>
    </row>
    <row r="1287">
      <c r="B1287" s="37"/>
    </row>
    <row r="1288">
      <c r="B1288" s="37"/>
    </row>
    <row r="1289">
      <c r="B1289" s="37"/>
    </row>
    <row r="1290">
      <c r="B1290" s="37"/>
    </row>
    <row r="1291">
      <c r="B1291" s="37"/>
    </row>
    <row r="1292">
      <c r="B1292" s="37"/>
    </row>
    <row r="1293">
      <c r="B1293" s="37"/>
    </row>
    <row r="1294">
      <c r="B1294" s="37"/>
    </row>
    <row r="1295">
      <c r="B1295" s="37"/>
    </row>
    <row r="1296">
      <c r="B1296" s="37"/>
    </row>
    <row r="1297">
      <c r="B1297" s="37"/>
    </row>
    <row r="1298">
      <c r="B1298" s="37"/>
    </row>
    <row r="1299">
      <c r="B1299" s="37"/>
    </row>
    <row r="1300">
      <c r="B1300" s="37"/>
    </row>
    <row r="1301">
      <c r="B1301" s="37"/>
    </row>
    <row r="1302">
      <c r="B1302" s="37"/>
    </row>
    <row r="1303">
      <c r="B1303" s="37"/>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2.25"/>
    <col customWidth="1" min="3" max="3" width="15.0"/>
    <col customWidth="1" min="4" max="4" width="2.38"/>
    <col customWidth="1" min="6" max="6" width="2.75"/>
    <col customWidth="1" min="8" max="8" width="2.5"/>
  </cols>
  <sheetData>
    <row r="1">
      <c r="A1" s="38" t="s">
        <v>1378</v>
      </c>
      <c r="C1" s="4" t="s">
        <v>1379</v>
      </c>
      <c r="D1" s="38"/>
      <c r="E1" s="38" t="s">
        <v>1380</v>
      </c>
      <c r="G1" s="38" t="s">
        <v>1381</v>
      </c>
      <c r="I1" s="3" t="s">
        <v>1382</v>
      </c>
    </row>
    <row r="2">
      <c r="A2" s="39" t="s">
        <v>1383</v>
      </c>
      <c r="C2" s="4" t="s">
        <v>1384</v>
      </c>
      <c r="E2" s="39" t="s">
        <v>1385</v>
      </c>
      <c r="G2" s="39" t="s">
        <v>1386</v>
      </c>
      <c r="I2" s="40" t="s">
        <v>1387</v>
      </c>
    </row>
    <row r="3">
      <c r="A3" s="41" t="s">
        <v>1388</v>
      </c>
      <c r="C3" s="4" t="s">
        <v>1389</v>
      </c>
      <c r="E3" s="41" t="s">
        <v>1390</v>
      </c>
      <c r="G3" s="42" t="s">
        <v>1391</v>
      </c>
      <c r="I3" s="43" t="s">
        <v>1392</v>
      </c>
    </row>
    <row r="4">
      <c r="A4" s="44"/>
      <c r="C4" s="4" t="s">
        <v>1393</v>
      </c>
    </row>
    <row r="5">
      <c r="A5" s="39" t="s">
        <v>1384</v>
      </c>
      <c r="C5" s="4" t="s">
        <v>1383</v>
      </c>
      <c r="E5" s="39" t="s">
        <v>1394</v>
      </c>
      <c r="G5" s="41" t="s">
        <v>1395</v>
      </c>
    </row>
    <row r="6">
      <c r="A6" s="41" t="s">
        <v>1396</v>
      </c>
      <c r="C6" s="4" t="s">
        <v>1397</v>
      </c>
      <c r="E6" s="41" t="s">
        <v>1398</v>
      </c>
      <c r="G6" s="45" t="s">
        <v>1399</v>
      </c>
    </row>
    <row r="7">
      <c r="A7" s="44"/>
      <c r="C7" s="4" t="s">
        <v>1400</v>
      </c>
    </row>
    <row r="8">
      <c r="A8" s="39" t="s">
        <v>1397</v>
      </c>
      <c r="C8" s="4" t="s">
        <v>1401</v>
      </c>
      <c r="E8" s="39" t="s">
        <v>1402</v>
      </c>
    </row>
    <row r="9">
      <c r="A9" s="41" t="s">
        <v>36</v>
      </c>
      <c r="C9" s="4" t="s">
        <v>1403</v>
      </c>
      <c r="E9" s="41" t="s">
        <v>1404</v>
      </c>
    </row>
    <row r="10">
      <c r="A10" s="44"/>
    </row>
    <row r="11">
      <c r="A11" s="39" t="s">
        <v>1405</v>
      </c>
      <c r="E11" s="39" t="s">
        <v>1406</v>
      </c>
    </row>
    <row r="12">
      <c r="A12" s="41" t="s">
        <v>1407</v>
      </c>
      <c r="E12" s="41" t="s">
        <v>1408</v>
      </c>
    </row>
    <row r="13">
      <c r="A13" s="44"/>
    </row>
    <row r="14">
      <c r="A14" s="39" t="s">
        <v>1409</v>
      </c>
    </row>
    <row r="15">
      <c r="A15" s="41" t="s">
        <v>1403</v>
      </c>
    </row>
    <row r="16">
      <c r="A16" s="44"/>
    </row>
    <row r="17">
      <c r="A17" s="39" t="s">
        <v>1410</v>
      </c>
    </row>
    <row r="18">
      <c r="A18" s="41" t="s">
        <v>1393</v>
      </c>
    </row>
    <row r="19">
      <c r="A19" s="44"/>
    </row>
    <row r="20">
      <c r="A20" s="39" t="s">
        <v>1411</v>
      </c>
    </row>
    <row r="21">
      <c r="A21" s="41" t="s">
        <v>1400</v>
      </c>
    </row>
    <row r="22">
      <c r="A22" s="44"/>
    </row>
    <row r="23">
      <c r="A23" s="39" t="s">
        <v>1412</v>
      </c>
    </row>
    <row r="24">
      <c r="A24" s="41" t="s">
        <v>1401</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63"/>
  </cols>
  <sheetData>
    <row r="1" ht="407.25" customHeight="1">
      <c r="A1" s="46" t="s">
        <v>1413</v>
      </c>
    </row>
    <row r="2">
      <c r="A2" s="47"/>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25"/>
    <col customWidth="1" min="2" max="2" width="5.75"/>
    <col customWidth="1" min="3" max="3" width="13.38"/>
    <col customWidth="1" min="4" max="46" width="4.5"/>
    <col customWidth="1" min="47" max="55" width="3.5"/>
  </cols>
  <sheetData>
    <row r="1">
      <c r="A1" s="3" t="s">
        <v>1414</v>
      </c>
      <c r="B1" s="3" t="s">
        <v>2</v>
      </c>
      <c r="C1" s="3" t="s">
        <v>1415</v>
      </c>
      <c r="D1" s="48" t="s">
        <v>1219</v>
      </c>
      <c r="E1" s="48" t="s">
        <v>1220</v>
      </c>
      <c r="F1" s="48" t="s">
        <v>1221</v>
      </c>
      <c r="G1" s="48" t="s">
        <v>1222</v>
      </c>
      <c r="H1" s="48" t="s">
        <v>1223</v>
      </c>
      <c r="I1" s="48" t="s">
        <v>1224</v>
      </c>
      <c r="J1" s="48" t="s">
        <v>1225</v>
      </c>
      <c r="K1" s="48" t="s">
        <v>1226</v>
      </c>
      <c r="L1" s="48" t="s">
        <v>1227</v>
      </c>
      <c r="M1" s="48" t="s">
        <v>1228</v>
      </c>
      <c r="N1" s="48" t="s">
        <v>1229</v>
      </c>
      <c r="O1" s="48" t="s">
        <v>1230</v>
      </c>
      <c r="P1" s="48" t="s">
        <v>1231</v>
      </c>
      <c r="Q1" s="48" t="s">
        <v>1232</v>
      </c>
      <c r="R1" s="48" t="s">
        <v>1233</v>
      </c>
      <c r="S1" s="48" t="s">
        <v>1234</v>
      </c>
      <c r="T1" s="48" t="s">
        <v>1235</v>
      </c>
      <c r="U1" s="48" t="s">
        <v>1236</v>
      </c>
      <c r="V1" s="48" t="s">
        <v>1237</v>
      </c>
      <c r="W1" s="48" t="s">
        <v>1238</v>
      </c>
      <c r="X1" s="48" t="s">
        <v>1239</v>
      </c>
      <c r="Y1" s="48" t="s">
        <v>1240</v>
      </c>
      <c r="Z1" s="48" t="s">
        <v>1241</v>
      </c>
      <c r="AA1" s="48" t="s">
        <v>1242</v>
      </c>
      <c r="AB1" s="48" t="s">
        <v>1243</v>
      </c>
      <c r="AC1" s="48" t="s">
        <v>1244</v>
      </c>
      <c r="AD1" s="48" t="s">
        <v>1245</v>
      </c>
      <c r="AE1" s="48" t="s">
        <v>1246</v>
      </c>
      <c r="AF1" s="48" t="s">
        <v>1247</v>
      </c>
      <c r="AG1" s="48" t="s">
        <v>1248</v>
      </c>
      <c r="AH1" s="48" t="s">
        <v>1249</v>
      </c>
      <c r="AI1" s="48" t="s">
        <v>1250</v>
      </c>
      <c r="AJ1" s="48" t="s">
        <v>1251</v>
      </c>
      <c r="AK1" s="48" t="s">
        <v>1252</v>
      </c>
      <c r="AL1" s="48" t="s">
        <v>1253</v>
      </c>
      <c r="AM1" s="48" t="s">
        <v>1254</v>
      </c>
      <c r="AN1" s="48" t="s">
        <v>1255</v>
      </c>
      <c r="AO1" s="48" t="s">
        <v>1256</v>
      </c>
      <c r="AP1" s="48" t="s">
        <v>1257</v>
      </c>
      <c r="AQ1" s="48" t="s">
        <v>1258</v>
      </c>
      <c r="AR1" s="48" t="s">
        <v>1259</v>
      </c>
      <c r="AS1" s="48" t="s">
        <v>1260</v>
      </c>
      <c r="AT1" s="48" t="s">
        <v>1261</v>
      </c>
      <c r="AU1" s="48" t="s">
        <v>52</v>
      </c>
      <c r="AV1" s="48" t="s">
        <v>10</v>
      </c>
      <c r="AW1" s="48" t="s">
        <v>11</v>
      </c>
      <c r="AX1" s="48" t="s">
        <v>12</v>
      </c>
      <c r="AY1" s="48" t="s">
        <v>13</v>
      </c>
      <c r="AZ1" s="48" t="s">
        <v>14</v>
      </c>
      <c r="BA1" s="48" t="s">
        <v>15</v>
      </c>
      <c r="BB1" s="48" t="s">
        <v>16</v>
      </c>
      <c r="BC1" s="48" t="s">
        <v>17</v>
      </c>
    </row>
    <row r="2">
      <c r="A2" s="4" t="s">
        <v>26</v>
      </c>
      <c r="B2" s="16">
        <f t="shared" ref="B2:B25" si="2">SUM(C2:BC2)</f>
        <v>439.2611111</v>
      </c>
      <c r="C2" s="6">
        <f>'2023 все бани'!G1*2</f>
        <v>220</v>
      </c>
      <c r="D2" s="7">
        <v>7.0</v>
      </c>
      <c r="E2" s="7">
        <v>5.0</v>
      </c>
      <c r="F2" s="7">
        <v>0.0</v>
      </c>
      <c r="G2" s="7">
        <v>0.0</v>
      </c>
      <c r="H2" s="7">
        <v>7.0</v>
      </c>
      <c r="I2" s="7">
        <v>0.0</v>
      </c>
      <c r="J2" s="7">
        <v>10.0</v>
      </c>
      <c r="K2" s="7">
        <v>5.0</v>
      </c>
      <c r="L2" s="7">
        <v>6.0</v>
      </c>
      <c r="M2" s="7">
        <v>0.0</v>
      </c>
      <c r="N2" s="7">
        <v>7.0</v>
      </c>
      <c r="O2" s="7">
        <v>0.0</v>
      </c>
      <c r="P2" s="7">
        <f>1/9</f>
        <v>0.1111111111</v>
      </c>
      <c r="Q2" s="7">
        <v>0.0</v>
      </c>
      <c r="R2" s="7">
        <v>2.75</v>
      </c>
      <c r="S2" s="7">
        <v>5.0</v>
      </c>
      <c r="T2" s="7">
        <v>3.333333333</v>
      </c>
      <c r="U2" s="7">
        <v>6.0</v>
      </c>
      <c r="V2" s="7">
        <v>10.0</v>
      </c>
      <c r="W2" s="7">
        <v>3.0</v>
      </c>
      <c r="X2" s="7">
        <v>0.0</v>
      </c>
      <c r="Y2" s="7">
        <v>2.0</v>
      </c>
      <c r="Z2" s="7">
        <v>1.0</v>
      </c>
      <c r="AA2" s="7">
        <v>7.333333333</v>
      </c>
      <c r="AB2" s="7">
        <f>10/3</f>
        <v>3.333333333</v>
      </c>
      <c r="AC2" s="7">
        <v>5.0</v>
      </c>
      <c r="AD2" s="7">
        <v>8.5</v>
      </c>
      <c r="AE2" s="7">
        <v>0.0</v>
      </c>
      <c r="AF2" s="7">
        <v>3.0</v>
      </c>
      <c r="AG2" s="7">
        <v>5.0</v>
      </c>
      <c r="AH2" s="7">
        <v>7.0</v>
      </c>
      <c r="AI2" s="7">
        <v>10.0</v>
      </c>
      <c r="AJ2" s="7">
        <v>10.0</v>
      </c>
      <c r="AK2" s="7">
        <v>2.5</v>
      </c>
      <c r="AL2" s="7">
        <f t="shared" ref="AL2:AL3" si="3">10/3</f>
        <v>3.333333333</v>
      </c>
      <c r="AM2" s="7">
        <v>7.0</v>
      </c>
      <c r="AN2" s="7">
        <f t="shared" ref="AN2:AN3" si="4">(10+5+7)/3</f>
        <v>7.333333333</v>
      </c>
      <c r="AO2" s="7">
        <v>8.5</v>
      </c>
      <c r="AP2" s="7">
        <v>2.5</v>
      </c>
      <c r="AQ2" s="7">
        <v>4.0</v>
      </c>
      <c r="AR2" s="7">
        <v>0.0</v>
      </c>
      <c r="AS2" s="7">
        <v>5</v>
      </c>
      <c r="AT2" s="7">
        <f>(5+3+2)/3</f>
        <v>3.333333333</v>
      </c>
      <c r="AU2" s="4">
        <f t="shared" ref="AU2:AV2" si="1">(7+5+3)/3</f>
        <v>5</v>
      </c>
      <c r="AV2" s="4">
        <f t="shared" si="1"/>
        <v>5</v>
      </c>
      <c r="AW2" s="4">
        <v>0.0</v>
      </c>
      <c r="AX2" s="4">
        <f>(2+1)/3</f>
        <v>1</v>
      </c>
      <c r="AY2" s="4">
        <f t="shared" ref="AY2:AY4" si="6">(10+7+5+3+2)/5</f>
        <v>5.4</v>
      </c>
      <c r="AZ2" s="4">
        <v>10.0</v>
      </c>
      <c r="BA2" s="4">
        <f t="shared" ref="BA2:BA3" si="7">(7+5+3)/3</f>
        <v>5</v>
      </c>
      <c r="BB2" s="4">
        <v>5.0</v>
      </c>
      <c r="BC2" s="4">
        <v>0.0</v>
      </c>
    </row>
    <row r="3">
      <c r="A3" s="4" t="s">
        <v>23</v>
      </c>
      <c r="B3" s="16">
        <f t="shared" si="2"/>
        <v>437.65</v>
      </c>
      <c r="C3" s="6">
        <f>'2023 все бани'!F1*2</f>
        <v>176</v>
      </c>
      <c r="D3" s="7">
        <v>10.0</v>
      </c>
      <c r="E3" s="7">
        <v>2.5</v>
      </c>
      <c r="F3" s="7">
        <v>1.5</v>
      </c>
      <c r="G3" s="7">
        <v>5.0</v>
      </c>
      <c r="H3" s="7">
        <v>0.75</v>
      </c>
      <c r="I3" s="7">
        <f>(10+7+5)/3</f>
        <v>7.333333333</v>
      </c>
      <c r="J3" s="7">
        <f>17/4</f>
        <v>4.25</v>
      </c>
      <c r="K3" s="7">
        <v>3.0</v>
      </c>
      <c r="L3" s="7">
        <v>0.0</v>
      </c>
      <c r="M3" s="7">
        <v>7.0</v>
      </c>
      <c r="N3" s="7">
        <v>0.0</v>
      </c>
      <c r="O3" s="7">
        <v>4.0</v>
      </c>
      <c r="P3" s="7">
        <v>8.5</v>
      </c>
      <c r="Q3" s="7">
        <f>10/3</f>
        <v>3.333333333</v>
      </c>
      <c r="R3" s="7">
        <v>2.75</v>
      </c>
      <c r="S3" s="7">
        <v>7.0</v>
      </c>
      <c r="T3" s="7">
        <v>0.0</v>
      </c>
      <c r="U3" s="7">
        <v>1.0</v>
      </c>
      <c r="V3" s="7">
        <v>0.0</v>
      </c>
      <c r="W3" s="7">
        <v>3.0</v>
      </c>
      <c r="X3" s="7">
        <v>2.0</v>
      </c>
      <c r="Y3" s="7">
        <v>6.0</v>
      </c>
      <c r="Z3" s="7">
        <v>5</v>
      </c>
      <c r="AA3" s="7">
        <v>3.0</v>
      </c>
      <c r="AB3" s="7">
        <v>7.0</v>
      </c>
      <c r="AC3" s="7">
        <v>0.5</v>
      </c>
      <c r="AD3" s="7">
        <f>10/3</f>
        <v>3.333333333</v>
      </c>
      <c r="AE3" s="7">
        <v>10.0</v>
      </c>
      <c r="AF3" s="7">
        <v>5.0</v>
      </c>
      <c r="AG3" s="7">
        <v>8.5</v>
      </c>
      <c r="AH3" s="7">
        <f>10/3</f>
        <v>3.333333333</v>
      </c>
      <c r="AI3" s="7">
        <v>6.0</v>
      </c>
      <c r="AJ3" s="7">
        <v>7.0</v>
      </c>
      <c r="AK3" s="7">
        <v>6.0</v>
      </c>
      <c r="AL3" s="7">
        <f t="shared" si="3"/>
        <v>3.333333333</v>
      </c>
      <c r="AM3" s="7">
        <v>10.0</v>
      </c>
      <c r="AN3" s="7">
        <f t="shared" si="4"/>
        <v>7.333333333</v>
      </c>
      <c r="AO3" s="7">
        <v>4.0</v>
      </c>
      <c r="AP3" s="7">
        <v>2.5</v>
      </c>
      <c r="AQ3" s="7">
        <f>(10+7)/2</f>
        <v>8.5</v>
      </c>
      <c r="AR3" s="7">
        <v>10.0</v>
      </c>
      <c r="AS3" s="7">
        <v>5</v>
      </c>
      <c r="AT3" s="4">
        <v>7.0</v>
      </c>
      <c r="AU3" s="4">
        <v>10.0</v>
      </c>
      <c r="AV3" s="4">
        <f>(7+5+3)/3</f>
        <v>5</v>
      </c>
      <c r="AW3" s="4">
        <f t="shared" ref="AW3:AX3" si="5">(10+7)/2</f>
        <v>8.5</v>
      </c>
      <c r="AX3" s="4">
        <f t="shared" si="5"/>
        <v>8.5</v>
      </c>
      <c r="AY3" s="4">
        <f t="shared" si="6"/>
        <v>5.4</v>
      </c>
      <c r="AZ3" s="4">
        <f>(5+3)/2</f>
        <v>4</v>
      </c>
      <c r="BA3" s="4">
        <f t="shared" si="7"/>
        <v>5</v>
      </c>
      <c r="BB3" s="4">
        <v>7.0</v>
      </c>
      <c r="BC3" s="4">
        <v>7.0</v>
      </c>
    </row>
    <row r="4">
      <c r="A4" s="4" t="s">
        <v>18</v>
      </c>
      <c r="B4" s="16">
        <f t="shared" si="2"/>
        <v>397.5333333</v>
      </c>
      <c r="C4" s="6">
        <f>'2023 все бани'!D1*2</f>
        <v>200</v>
      </c>
      <c r="D4" s="7">
        <v>3.0</v>
      </c>
      <c r="E4" s="7">
        <v>0.3333333333</v>
      </c>
      <c r="F4" s="7">
        <v>0.0</v>
      </c>
      <c r="G4" s="4">
        <v>2.5</v>
      </c>
      <c r="H4" s="7">
        <v>0.75</v>
      </c>
      <c r="I4" s="7">
        <v>0.5</v>
      </c>
      <c r="J4" s="7">
        <v>0.0</v>
      </c>
      <c r="K4" s="7">
        <v>7.0</v>
      </c>
      <c r="L4" s="7">
        <v>6.0</v>
      </c>
      <c r="M4" s="7">
        <f>11/4</f>
        <v>2.75</v>
      </c>
      <c r="N4" s="4">
        <v>1.5</v>
      </c>
      <c r="O4" s="7">
        <v>1.0</v>
      </c>
      <c r="P4" s="7">
        <f t="shared" ref="P4:Q4" si="8">10/3</f>
        <v>3.333333333</v>
      </c>
      <c r="Q4" s="7">
        <f t="shared" si="8"/>
        <v>3.333333333</v>
      </c>
      <c r="R4" s="7">
        <v>0.0</v>
      </c>
      <c r="S4" s="7">
        <v>1.5</v>
      </c>
      <c r="T4" s="7">
        <v>0.3333333333</v>
      </c>
      <c r="U4" s="7">
        <v>0.0</v>
      </c>
      <c r="V4" s="7">
        <v>0.0</v>
      </c>
      <c r="W4" s="7">
        <v>3.0</v>
      </c>
      <c r="X4" s="7">
        <v>0.0</v>
      </c>
      <c r="Y4" s="7">
        <v>2.0</v>
      </c>
      <c r="Z4" s="7">
        <v>5</v>
      </c>
      <c r="AA4" s="7">
        <v>7.333333333</v>
      </c>
      <c r="AB4" s="7">
        <f>10/3</f>
        <v>3.333333333</v>
      </c>
      <c r="AC4" s="7">
        <v>10.0</v>
      </c>
      <c r="AD4" s="7">
        <v>8.5</v>
      </c>
      <c r="AE4" s="7">
        <v>5.0</v>
      </c>
      <c r="AF4" s="7">
        <v>0.0</v>
      </c>
      <c r="AG4" s="7">
        <v>8.5</v>
      </c>
      <c r="AH4" s="7">
        <v>10.0</v>
      </c>
      <c r="AI4" s="7">
        <v>0.0</v>
      </c>
      <c r="AJ4" s="7">
        <v>0.0</v>
      </c>
      <c r="AK4" s="7">
        <v>10.0</v>
      </c>
      <c r="AL4" s="7">
        <v>10.0</v>
      </c>
      <c r="AM4" s="7">
        <f>11/4</f>
        <v>2.75</v>
      </c>
      <c r="AN4" s="7">
        <v>0.2</v>
      </c>
      <c r="AO4" s="7">
        <v>1.0</v>
      </c>
      <c r="AP4" s="7">
        <v>10.0</v>
      </c>
      <c r="AQ4" s="7">
        <f>(2+1)/5</f>
        <v>0.6</v>
      </c>
      <c r="AR4" s="7">
        <f>(7+5)/2</f>
        <v>6</v>
      </c>
      <c r="AS4" s="7">
        <v>5</v>
      </c>
      <c r="AT4" s="7">
        <f>(5+3+2)/3</f>
        <v>3.333333333</v>
      </c>
      <c r="AU4" s="4">
        <f>(7+5+3)/3</f>
        <v>5</v>
      </c>
      <c r="AV4" s="7">
        <f>(2+1)/4</f>
        <v>0.75</v>
      </c>
      <c r="AW4" s="4">
        <v>0.0</v>
      </c>
      <c r="AX4" s="4">
        <f>(5+3)/2</f>
        <v>4</v>
      </c>
      <c r="AY4" s="4">
        <f t="shared" si="6"/>
        <v>5.4</v>
      </c>
      <c r="AZ4" s="4">
        <v>7.0</v>
      </c>
      <c r="BA4" s="4">
        <v>10.0</v>
      </c>
      <c r="BB4" s="4">
        <v>10.0</v>
      </c>
      <c r="BC4" s="4">
        <v>10.0</v>
      </c>
    </row>
    <row r="5">
      <c r="A5" s="4" t="s">
        <v>19</v>
      </c>
      <c r="B5" s="16">
        <f t="shared" si="2"/>
        <v>311.7333333</v>
      </c>
      <c r="C5" s="6">
        <f>'2023 все бани'!C1*2</f>
        <v>170</v>
      </c>
      <c r="D5" s="7">
        <f t="shared" ref="D5:D6" si="9">3/5</f>
        <v>0.6</v>
      </c>
      <c r="E5" s="7">
        <v>0.3333333333</v>
      </c>
      <c r="F5" s="7">
        <v>0.0</v>
      </c>
      <c r="G5" s="7">
        <v>0.0</v>
      </c>
      <c r="H5" s="7">
        <v>0.0</v>
      </c>
      <c r="I5" s="7">
        <v>0.5</v>
      </c>
      <c r="J5" s="7">
        <f t="shared" ref="J5:J6" si="10">1/6</f>
        <v>0.1666666667</v>
      </c>
      <c r="K5" s="7">
        <v>10.0</v>
      </c>
      <c r="L5" s="7">
        <v>10.0</v>
      </c>
      <c r="M5" s="7">
        <v>10.0</v>
      </c>
      <c r="N5" s="7">
        <v>10.0</v>
      </c>
      <c r="O5" s="7">
        <v>10.0</v>
      </c>
      <c r="P5" s="7">
        <f>10/3</f>
        <v>3.333333333</v>
      </c>
      <c r="Q5" s="7">
        <f t="shared" ref="Q5:Q6" si="11">1/3</f>
        <v>0.3333333333</v>
      </c>
      <c r="R5" s="7">
        <v>0.0</v>
      </c>
      <c r="S5" s="7">
        <v>10.0</v>
      </c>
      <c r="T5" s="7">
        <v>7.0</v>
      </c>
      <c r="U5" s="7">
        <v>10.0</v>
      </c>
      <c r="V5" s="7">
        <v>7.0</v>
      </c>
      <c r="W5" s="7">
        <v>10.0</v>
      </c>
      <c r="X5" s="7">
        <v>7.0</v>
      </c>
      <c r="Y5" s="7">
        <v>6.0</v>
      </c>
      <c r="Z5" s="7">
        <v>1.0</v>
      </c>
      <c r="AA5" s="7">
        <v>7.333333333</v>
      </c>
      <c r="AB5" s="7">
        <v>0.0</v>
      </c>
      <c r="AC5" s="7">
        <v>0.0</v>
      </c>
      <c r="AD5" s="7">
        <f>10/3</f>
        <v>3.333333333</v>
      </c>
      <c r="AE5" s="7">
        <v>5.0</v>
      </c>
      <c r="AF5" s="7">
        <v>7.0</v>
      </c>
      <c r="AG5" s="7">
        <v>0.6</v>
      </c>
      <c r="AH5" s="7">
        <v>0.0</v>
      </c>
      <c r="AI5" s="7">
        <v>0.0</v>
      </c>
      <c r="AJ5" s="7">
        <v>0.0</v>
      </c>
      <c r="AK5" s="7">
        <v>0.2</v>
      </c>
      <c r="AL5" s="7">
        <v>0.0</v>
      </c>
      <c r="AM5" s="7">
        <v>0.0</v>
      </c>
      <c r="AN5" s="32">
        <v>0.0</v>
      </c>
      <c r="AO5" s="32">
        <v>0.0</v>
      </c>
      <c r="AP5" s="32">
        <v>0.0</v>
      </c>
      <c r="AQ5" s="32">
        <v>0.0</v>
      </c>
      <c r="AR5" s="4">
        <v>0.0</v>
      </c>
      <c r="AS5" s="4">
        <v>0.0</v>
      </c>
      <c r="AT5" s="4">
        <v>0.0</v>
      </c>
      <c r="AU5" s="4">
        <v>0.0</v>
      </c>
      <c r="AV5" s="4">
        <v>0.0</v>
      </c>
      <c r="AW5" s="4">
        <v>0.0</v>
      </c>
      <c r="AX5" s="4">
        <v>0.0</v>
      </c>
      <c r="AY5" s="4">
        <v>0.0</v>
      </c>
      <c r="AZ5" s="4">
        <v>0.0</v>
      </c>
      <c r="BA5" s="4">
        <v>0.0</v>
      </c>
      <c r="BB5" s="4">
        <v>0.0</v>
      </c>
      <c r="BC5" s="4">
        <v>5.0</v>
      </c>
    </row>
    <row r="6">
      <c r="A6" s="4" t="s">
        <v>1416</v>
      </c>
      <c r="B6" s="16">
        <f t="shared" si="2"/>
        <v>222.9</v>
      </c>
      <c r="C6" s="6">
        <f>'2023 все бани'!I1*2</f>
        <v>144</v>
      </c>
      <c r="D6" s="7">
        <f t="shared" si="9"/>
        <v>0.6</v>
      </c>
      <c r="E6" s="7">
        <v>0.0</v>
      </c>
      <c r="F6" s="7">
        <v>0.0</v>
      </c>
      <c r="G6" s="7">
        <v>7.0</v>
      </c>
      <c r="H6" s="7">
        <v>0.0</v>
      </c>
      <c r="I6" s="7">
        <v>0.0</v>
      </c>
      <c r="J6" s="7">
        <f t="shared" si="10"/>
        <v>0.1666666667</v>
      </c>
      <c r="K6" s="7">
        <v>0.3333333333</v>
      </c>
      <c r="L6" s="7">
        <v>1.5</v>
      </c>
      <c r="M6" s="7">
        <v>0.0</v>
      </c>
      <c r="N6" s="7">
        <v>1.5</v>
      </c>
      <c r="O6" s="7">
        <v>7.0</v>
      </c>
      <c r="P6" s="7">
        <v>0.0</v>
      </c>
      <c r="Q6" s="7">
        <f t="shared" si="11"/>
        <v>0.3333333333</v>
      </c>
      <c r="R6" s="7">
        <v>7.0</v>
      </c>
      <c r="S6" s="7">
        <v>1.5</v>
      </c>
      <c r="T6" s="7">
        <v>3.333333333</v>
      </c>
      <c r="U6" s="7">
        <v>0.0</v>
      </c>
      <c r="V6" s="7">
        <v>0.0</v>
      </c>
      <c r="W6" s="7">
        <v>0.0</v>
      </c>
      <c r="X6" s="7">
        <v>2.0</v>
      </c>
      <c r="Y6" s="7">
        <v>0.0</v>
      </c>
      <c r="Z6" s="7">
        <v>5</v>
      </c>
      <c r="AA6" s="7">
        <v>0.0</v>
      </c>
      <c r="AB6" s="7">
        <v>0.0</v>
      </c>
      <c r="AC6" s="7">
        <v>5.0</v>
      </c>
      <c r="AD6" s="7">
        <v>0.0</v>
      </c>
      <c r="AE6" s="7">
        <v>1.5</v>
      </c>
      <c r="AF6" s="7">
        <v>0.0</v>
      </c>
      <c r="AG6" s="4">
        <v>0.6</v>
      </c>
      <c r="AH6" s="7">
        <v>0.25</v>
      </c>
      <c r="AI6" s="7">
        <v>0.0</v>
      </c>
      <c r="AJ6" s="7">
        <v>0.0</v>
      </c>
      <c r="AK6" s="7">
        <v>0.0</v>
      </c>
      <c r="AL6" s="7">
        <v>0.0</v>
      </c>
      <c r="AM6" s="7">
        <v>0.0</v>
      </c>
      <c r="AN6" s="7">
        <v>2.5</v>
      </c>
      <c r="AO6" s="32">
        <v>0.0</v>
      </c>
      <c r="AP6" s="7">
        <v>0.2</v>
      </c>
      <c r="AQ6" s="7">
        <f t="shared" ref="AQ6:AQ7" si="13">(2+1)/5</f>
        <v>0.6</v>
      </c>
      <c r="AR6" s="7">
        <f>1/3</f>
        <v>0.3333333333</v>
      </c>
      <c r="AS6" s="7">
        <v>0.0</v>
      </c>
      <c r="AT6" s="7">
        <f t="shared" ref="AT6:AT7" si="14">(1)/4</f>
        <v>0.25</v>
      </c>
      <c r="AU6" s="4">
        <f>(2+1)/2</f>
        <v>1.5</v>
      </c>
      <c r="AV6" s="4">
        <v>0.0</v>
      </c>
      <c r="AW6" s="4">
        <f t="shared" ref="AW6:AX6" si="12">(10+7)/2</f>
        <v>8.5</v>
      </c>
      <c r="AX6" s="4">
        <f t="shared" si="12"/>
        <v>8.5</v>
      </c>
      <c r="AY6" s="4">
        <f>(10+7+5+3+2)/5</f>
        <v>5.4</v>
      </c>
      <c r="AZ6" s="4">
        <f>(2+1)/2</f>
        <v>1.5</v>
      </c>
      <c r="BA6" s="4">
        <f>(7+5+3)/3</f>
        <v>5</v>
      </c>
      <c r="BB6" s="4">
        <v>0.0</v>
      </c>
      <c r="BC6" s="4">
        <v>0.0</v>
      </c>
    </row>
    <row r="7">
      <c r="A7" s="4" t="s">
        <v>1347</v>
      </c>
      <c r="B7" s="16">
        <f t="shared" si="2"/>
        <v>191.3111111</v>
      </c>
      <c r="C7" s="6">
        <f>'2023 все бани'!E1*2</f>
        <v>128</v>
      </c>
      <c r="D7" s="7">
        <v>0.0</v>
      </c>
      <c r="E7" s="7">
        <v>0.0</v>
      </c>
      <c r="F7" s="7">
        <v>0.0</v>
      </c>
      <c r="G7" s="7">
        <v>0.0</v>
      </c>
      <c r="H7" s="7">
        <v>0.0</v>
      </c>
      <c r="I7" s="7">
        <v>0.0</v>
      </c>
      <c r="J7" s="7">
        <v>0.0</v>
      </c>
      <c r="K7" s="7">
        <v>0.3333333333</v>
      </c>
      <c r="L7" s="7">
        <v>0.0</v>
      </c>
      <c r="M7" s="7">
        <v>0.0</v>
      </c>
      <c r="N7" s="7">
        <v>1.5</v>
      </c>
      <c r="O7" s="7">
        <v>4.0</v>
      </c>
      <c r="P7" s="7">
        <f t="shared" ref="P7:P9" si="15">1/9</f>
        <v>0.1111111111</v>
      </c>
      <c r="Q7" s="7">
        <v>7.0</v>
      </c>
      <c r="R7" s="7">
        <v>0.0</v>
      </c>
      <c r="S7" s="7">
        <v>0.0</v>
      </c>
      <c r="T7" s="7">
        <v>0.0</v>
      </c>
      <c r="U7" s="7">
        <v>0.0</v>
      </c>
      <c r="V7" s="7">
        <f t="shared" ref="V7:V10" si="16">11/4</f>
        <v>2.75</v>
      </c>
      <c r="W7" s="7">
        <v>0.0</v>
      </c>
      <c r="X7" s="7">
        <v>0.0</v>
      </c>
      <c r="Y7" s="7">
        <v>2.0</v>
      </c>
      <c r="Z7" s="7">
        <v>5</v>
      </c>
      <c r="AA7" s="7">
        <v>0.75</v>
      </c>
      <c r="AB7" s="7">
        <f>10/3</f>
        <v>3.333333333</v>
      </c>
      <c r="AC7" s="7">
        <v>0.5</v>
      </c>
      <c r="AD7" s="7">
        <v>0.0</v>
      </c>
      <c r="AE7" s="7">
        <v>0.0</v>
      </c>
      <c r="AF7" s="7">
        <v>1.0</v>
      </c>
      <c r="AG7" s="7">
        <v>3.0</v>
      </c>
      <c r="AH7" s="7">
        <f>10/3</f>
        <v>3.333333333</v>
      </c>
      <c r="AI7" s="7">
        <v>0.0</v>
      </c>
      <c r="AJ7" s="7">
        <v>0.0</v>
      </c>
      <c r="AK7" s="7">
        <v>0.2</v>
      </c>
      <c r="AL7" s="7">
        <v>0.0</v>
      </c>
      <c r="AM7" s="7">
        <v>0.0</v>
      </c>
      <c r="AN7" s="7">
        <v>0.2</v>
      </c>
      <c r="AO7" s="7">
        <v>1.0</v>
      </c>
      <c r="AP7" s="7">
        <v>0.2</v>
      </c>
      <c r="AQ7" s="7">
        <f t="shared" si="13"/>
        <v>0.6</v>
      </c>
      <c r="AR7" s="7">
        <v>2.5</v>
      </c>
      <c r="AS7" s="7">
        <v>1.5</v>
      </c>
      <c r="AT7" s="7">
        <f t="shared" si="14"/>
        <v>0.25</v>
      </c>
      <c r="AU7" s="32">
        <v>0.0</v>
      </c>
      <c r="AV7" s="32">
        <v>10.0</v>
      </c>
      <c r="AW7" s="7">
        <f>(5+3+2+1)/4</f>
        <v>2.75</v>
      </c>
      <c r="AX7" s="4">
        <v>0.0</v>
      </c>
      <c r="AY7" s="4">
        <v>0.0</v>
      </c>
      <c r="AZ7" s="4">
        <f>(5+3)/2</f>
        <v>4</v>
      </c>
      <c r="BA7" s="6">
        <f>(2+1)/3</f>
        <v>1</v>
      </c>
      <c r="BB7" s="6">
        <f>(3+2)/2</f>
        <v>2.5</v>
      </c>
      <c r="BC7" s="6">
        <f>(3+2+1)/3</f>
        <v>2</v>
      </c>
    </row>
    <row r="8">
      <c r="A8" s="4" t="s">
        <v>35</v>
      </c>
      <c r="B8" s="16">
        <f t="shared" si="2"/>
        <v>188.8777778</v>
      </c>
      <c r="C8" s="6">
        <f>'2023 все бани'!Q1*2</f>
        <v>102</v>
      </c>
      <c r="D8" s="7">
        <v>0.0</v>
      </c>
      <c r="E8" s="7">
        <v>0.3333333333</v>
      </c>
      <c r="F8" s="7">
        <v>1.5</v>
      </c>
      <c r="G8" s="7">
        <v>0.0</v>
      </c>
      <c r="H8" s="7">
        <v>0.75</v>
      </c>
      <c r="I8" s="7">
        <v>0.5</v>
      </c>
      <c r="J8" s="7">
        <v>0.0</v>
      </c>
      <c r="K8" s="7">
        <v>0.0</v>
      </c>
      <c r="L8" s="7">
        <v>1.5</v>
      </c>
      <c r="M8" s="7">
        <v>0.0</v>
      </c>
      <c r="N8" s="7">
        <v>1.5</v>
      </c>
      <c r="O8" s="7">
        <v>1.0</v>
      </c>
      <c r="P8" s="7">
        <f t="shared" si="15"/>
        <v>0.1111111111</v>
      </c>
      <c r="Q8" s="7">
        <v>0.0</v>
      </c>
      <c r="R8" s="7">
        <v>2.75</v>
      </c>
      <c r="S8" s="7">
        <v>0.0</v>
      </c>
      <c r="T8" s="7">
        <v>0.0</v>
      </c>
      <c r="U8" s="7">
        <v>1.0</v>
      </c>
      <c r="V8" s="7">
        <f t="shared" si="16"/>
        <v>2.75</v>
      </c>
      <c r="W8" s="7">
        <v>3.0</v>
      </c>
      <c r="X8" s="7">
        <v>2.0</v>
      </c>
      <c r="Y8" s="7">
        <v>0.0</v>
      </c>
      <c r="Z8" s="7">
        <v>0.0</v>
      </c>
      <c r="AA8" s="7">
        <v>0.75</v>
      </c>
      <c r="AB8" s="7">
        <v>0.2</v>
      </c>
      <c r="AC8" s="7">
        <v>0.5</v>
      </c>
      <c r="AD8" s="7">
        <v>0.5</v>
      </c>
      <c r="AE8" s="7">
        <v>5.0</v>
      </c>
      <c r="AF8" s="7">
        <v>10.0</v>
      </c>
      <c r="AG8" s="7">
        <v>0.0</v>
      </c>
      <c r="AH8" s="7">
        <v>0.25</v>
      </c>
      <c r="AI8" s="7">
        <f>6/5</f>
        <v>1.2</v>
      </c>
      <c r="AJ8" s="7">
        <f t="shared" ref="AJ8:AJ9" si="17">11/5</f>
        <v>2.2</v>
      </c>
      <c r="AK8" s="7">
        <v>2.5</v>
      </c>
      <c r="AL8" s="7">
        <v>0.5</v>
      </c>
      <c r="AM8" s="7">
        <f t="shared" ref="AM8:AM9" si="18">11/4</f>
        <v>2.75</v>
      </c>
      <c r="AN8" s="7">
        <f>(10+5+7)/3</f>
        <v>7.333333333</v>
      </c>
      <c r="AO8" s="7">
        <v>8.5</v>
      </c>
      <c r="AP8" s="7">
        <v>6.0</v>
      </c>
      <c r="AQ8" s="7">
        <v>4.0</v>
      </c>
      <c r="AR8" s="7">
        <f>(7+5)/2</f>
        <v>6</v>
      </c>
      <c r="AS8" s="4">
        <v>10.0</v>
      </c>
      <c r="AT8" s="4">
        <v>0.0</v>
      </c>
      <c r="AU8" s="4">
        <v>0.0</v>
      </c>
      <c r="AV8" s="4">
        <v>0.0</v>
      </c>
      <c r="AW8" s="4">
        <v>0.0</v>
      </c>
      <c r="AX8" s="4">
        <v>0.0</v>
      </c>
      <c r="AY8" s="4">
        <v>0.0</v>
      </c>
      <c r="AZ8" s="4">
        <v>0.0</v>
      </c>
      <c r="BA8" s="4">
        <v>0.0</v>
      </c>
      <c r="BB8" s="4">
        <v>0.0</v>
      </c>
      <c r="BC8" s="4">
        <v>0.0</v>
      </c>
    </row>
    <row r="9">
      <c r="A9" s="4" t="s">
        <v>32</v>
      </c>
      <c r="B9" s="16">
        <f t="shared" si="2"/>
        <v>168.0111111</v>
      </c>
      <c r="C9" s="6">
        <f>'2023 все бани'!K1*2</f>
        <v>52</v>
      </c>
      <c r="D9" s="7">
        <f t="shared" ref="D9:D10" si="19">3/5</f>
        <v>0.6</v>
      </c>
      <c r="E9" s="7">
        <v>2.5</v>
      </c>
      <c r="F9" s="7">
        <v>8.5</v>
      </c>
      <c r="G9" s="7">
        <v>10.0</v>
      </c>
      <c r="H9" s="7">
        <v>0.75</v>
      </c>
      <c r="I9" s="7">
        <v>0.5</v>
      </c>
      <c r="J9" s="7">
        <f>17/4</f>
        <v>4.25</v>
      </c>
      <c r="K9" s="7">
        <v>0.0</v>
      </c>
      <c r="L9" s="7">
        <v>0.0</v>
      </c>
      <c r="M9" s="7">
        <f t="shared" ref="M9:M10" si="20">11/4</f>
        <v>2.75</v>
      </c>
      <c r="N9" s="7">
        <v>5.0</v>
      </c>
      <c r="O9" s="7">
        <v>1.0</v>
      </c>
      <c r="P9" s="7">
        <f t="shared" si="15"/>
        <v>0.1111111111</v>
      </c>
      <c r="Q9" s="7">
        <f>10/3</f>
        <v>3.333333333</v>
      </c>
      <c r="R9" s="7">
        <v>0.0</v>
      </c>
      <c r="S9" s="7">
        <v>1.5</v>
      </c>
      <c r="T9" s="7">
        <v>10.0</v>
      </c>
      <c r="U9" s="7">
        <v>6.0</v>
      </c>
      <c r="V9" s="7">
        <f t="shared" si="16"/>
        <v>2.75</v>
      </c>
      <c r="W9" s="7">
        <v>3.0</v>
      </c>
      <c r="X9" s="7">
        <v>5.0</v>
      </c>
      <c r="Y9" s="7">
        <v>0.0</v>
      </c>
      <c r="Z9" s="7">
        <v>0.0</v>
      </c>
      <c r="AA9" s="7">
        <v>0.75</v>
      </c>
      <c r="AB9" s="7">
        <v>10.0</v>
      </c>
      <c r="AC9" s="7">
        <v>5.0</v>
      </c>
      <c r="AD9" s="7">
        <v>0.5</v>
      </c>
      <c r="AE9" s="7">
        <v>1.5</v>
      </c>
      <c r="AF9" s="7">
        <v>1.0</v>
      </c>
      <c r="AG9" s="7">
        <v>0.0</v>
      </c>
      <c r="AH9" s="7">
        <v>0.25</v>
      </c>
      <c r="AI9" s="7">
        <v>0.0</v>
      </c>
      <c r="AJ9" s="7">
        <f t="shared" si="17"/>
        <v>2.2</v>
      </c>
      <c r="AK9" s="7">
        <v>0.2</v>
      </c>
      <c r="AL9" s="7">
        <v>7.0</v>
      </c>
      <c r="AM9" s="7">
        <f t="shared" si="18"/>
        <v>2.75</v>
      </c>
      <c r="AN9" s="7">
        <v>0.2</v>
      </c>
      <c r="AO9" s="32">
        <v>0.0</v>
      </c>
      <c r="AP9" s="7">
        <v>0.2</v>
      </c>
      <c r="AQ9" s="32">
        <v>0.0</v>
      </c>
      <c r="AR9" s="7">
        <v>2.5</v>
      </c>
      <c r="AS9" s="7">
        <v>1.5</v>
      </c>
      <c r="AT9" s="7">
        <f>(5+3+2)/3</f>
        <v>3.333333333</v>
      </c>
      <c r="AU9" s="4">
        <f>(2+1)/2</f>
        <v>1.5</v>
      </c>
      <c r="AV9" s="4">
        <f>(7+5+3)/3</f>
        <v>5</v>
      </c>
      <c r="AW9" s="7">
        <f>(5+3+2+1)/4</f>
        <v>2.75</v>
      </c>
      <c r="AX9" s="4">
        <v>0.0</v>
      </c>
      <c r="AY9" s="49">
        <f>1/3</f>
        <v>0.3333333333</v>
      </c>
      <c r="AZ9" s="4">
        <v>0.0</v>
      </c>
      <c r="BA9" s="4">
        <v>0.0</v>
      </c>
      <c r="BB9" s="4">
        <v>0.0</v>
      </c>
      <c r="BC9" s="4">
        <v>0.0</v>
      </c>
    </row>
    <row r="10">
      <c r="A10" s="4" t="s">
        <v>31</v>
      </c>
      <c r="B10" s="16">
        <f t="shared" si="2"/>
        <v>157.1</v>
      </c>
      <c r="C10" s="6">
        <f>'2023 все бани'!W1*2</f>
        <v>114</v>
      </c>
      <c r="D10" s="7">
        <f t="shared" si="19"/>
        <v>0.6</v>
      </c>
      <c r="E10" s="7">
        <v>8.5</v>
      </c>
      <c r="F10" s="7">
        <v>5.0</v>
      </c>
      <c r="G10" s="7">
        <v>2.5</v>
      </c>
      <c r="H10" s="7">
        <v>10.0</v>
      </c>
      <c r="I10" s="7">
        <f t="shared" ref="I10:I11" si="21">(10+7+5)/3</f>
        <v>7.333333333</v>
      </c>
      <c r="J10" s="7">
        <f t="shared" ref="J10:J11" si="22">1/6</f>
        <v>0.1666666667</v>
      </c>
      <c r="K10" s="7">
        <v>2.0</v>
      </c>
      <c r="L10" s="7">
        <v>1.5</v>
      </c>
      <c r="M10" s="7">
        <f t="shared" si="20"/>
        <v>2.75</v>
      </c>
      <c r="N10" s="7">
        <v>0.0</v>
      </c>
      <c r="O10" s="7">
        <v>0.0</v>
      </c>
      <c r="P10" s="7">
        <v>0.0</v>
      </c>
      <c r="Q10" s="7">
        <v>0.0</v>
      </c>
      <c r="R10" s="7">
        <v>0.0</v>
      </c>
      <c r="S10" s="7">
        <v>0.0</v>
      </c>
      <c r="T10" s="7">
        <v>0.0</v>
      </c>
      <c r="U10" s="7">
        <v>0.0</v>
      </c>
      <c r="V10" s="7">
        <f t="shared" si="16"/>
        <v>2.75</v>
      </c>
      <c r="W10" s="7">
        <v>0.0</v>
      </c>
      <c r="X10" s="7">
        <v>0.0</v>
      </c>
      <c r="Y10" s="7">
        <v>0.0</v>
      </c>
      <c r="Z10" s="7">
        <v>0.0</v>
      </c>
      <c r="AA10" s="7">
        <v>0.0</v>
      </c>
      <c r="AB10" s="7">
        <v>0.0</v>
      </c>
      <c r="AC10" s="7">
        <v>0.0</v>
      </c>
      <c r="AD10" s="7">
        <v>0.0</v>
      </c>
      <c r="AE10" s="7">
        <v>0.0</v>
      </c>
      <c r="AF10" s="7">
        <v>0.0</v>
      </c>
      <c r="AG10" s="7">
        <v>0.0</v>
      </c>
      <c r="AH10" s="7">
        <v>0.0</v>
      </c>
      <c r="AI10" s="7">
        <v>0.0</v>
      </c>
      <c r="AJ10" s="7">
        <v>0.0</v>
      </c>
      <c r="AK10" s="7">
        <v>0.0</v>
      </c>
      <c r="AL10" s="7">
        <v>0.0</v>
      </c>
      <c r="AM10" s="7">
        <v>0.0</v>
      </c>
      <c r="AN10" s="7">
        <v>0.0</v>
      </c>
      <c r="AO10" s="7">
        <v>0.0</v>
      </c>
      <c r="AP10" s="7">
        <v>0.0</v>
      </c>
      <c r="AQ10" s="7">
        <v>0.0</v>
      </c>
      <c r="AR10" s="7">
        <v>0.0</v>
      </c>
      <c r="AS10" s="7">
        <v>0.0</v>
      </c>
      <c r="AT10" s="7">
        <v>0.0</v>
      </c>
      <c r="AU10" s="7">
        <v>0.0</v>
      </c>
      <c r="AV10" s="7">
        <v>0.0</v>
      </c>
      <c r="AW10" s="7">
        <v>0.0</v>
      </c>
      <c r="AX10" s="7">
        <v>0.0</v>
      </c>
      <c r="AY10" s="7">
        <v>0.0</v>
      </c>
      <c r="AZ10" s="7">
        <v>0.0</v>
      </c>
      <c r="BA10" s="7">
        <v>0.0</v>
      </c>
      <c r="BB10" s="7">
        <v>0.0</v>
      </c>
      <c r="BC10" s="7">
        <v>0.0</v>
      </c>
    </row>
    <row r="11">
      <c r="A11" s="4" t="s">
        <v>24</v>
      </c>
      <c r="B11" s="16">
        <f t="shared" si="2"/>
        <v>131</v>
      </c>
      <c r="C11" s="6">
        <f>'2023 все бани'!T1*2</f>
        <v>94</v>
      </c>
      <c r="D11" s="7">
        <v>5.0</v>
      </c>
      <c r="E11" s="7">
        <v>8.5</v>
      </c>
      <c r="F11" s="7">
        <v>8.5</v>
      </c>
      <c r="G11" s="7">
        <v>1.0</v>
      </c>
      <c r="H11" s="7">
        <v>0.0</v>
      </c>
      <c r="I11" s="7">
        <f t="shared" si="21"/>
        <v>7.333333333</v>
      </c>
      <c r="J11" s="7">
        <f t="shared" si="22"/>
        <v>0.1666666667</v>
      </c>
      <c r="K11" s="7">
        <v>0.0</v>
      </c>
      <c r="L11" s="7">
        <v>0.0</v>
      </c>
      <c r="M11" s="7">
        <v>0.0</v>
      </c>
      <c r="N11" s="7">
        <v>0.0</v>
      </c>
      <c r="O11" s="7">
        <v>0.0</v>
      </c>
      <c r="P11" s="7">
        <v>0.0</v>
      </c>
      <c r="Q11" s="7">
        <v>0.0</v>
      </c>
      <c r="R11" s="7">
        <v>0.0</v>
      </c>
      <c r="S11" s="7">
        <v>0.0</v>
      </c>
      <c r="T11" s="7">
        <v>0.0</v>
      </c>
      <c r="U11" s="7">
        <v>0.0</v>
      </c>
      <c r="V11" s="7">
        <v>0.0</v>
      </c>
      <c r="W11" s="7">
        <v>0.0</v>
      </c>
      <c r="X11" s="7">
        <v>0.0</v>
      </c>
      <c r="Y11" s="7">
        <v>0.0</v>
      </c>
      <c r="Z11" s="7">
        <v>0.0</v>
      </c>
      <c r="AA11" s="7">
        <v>0.0</v>
      </c>
      <c r="AB11" s="7">
        <v>0.0</v>
      </c>
      <c r="AC11" s="7">
        <v>0.5</v>
      </c>
      <c r="AD11" s="7">
        <v>0.0</v>
      </c>
      <c r="AE11" s="7">
        <v>0.0</v>
      </c>
      <c r="AF11" s="7">
        <v>0.0</v>
      </c>
      <c r="AG11" s="7">
        <v>0.0</v>
      </c>
      <c r="AH11" s="7">
        <v>0.0</v>
      </c>
      <c r="AI11" s="7">
        <v>0.0</v>
      </c>
      <c r="AJ11" s="7">
        <v>0.0</v>
      </c>
      <c r="AK11" s="7">
        <v>0.0</v>
      </c>
      <c r="AL11" s="7">
        <v>0.0</v>
      </c>
      <c r="AM11" s="7">
        <v>0.0</v>
      </c>
      <c r="AN11" s="32">
        <v>0.0</v>
      </c>
      <c r="AO11" s="32">
        <v>0.0</v>
      </c>
      <c r="AP11" s="4">
        <v>6.0</v>
      </c>
      <c r="AQ11" s="32">
        <v>0.0</v>
      </c>
      <c r="AR11" s="32">
        <v>0.0</v>
      </c>
      <c r="AS11" s="32">
        <v>0.0</v>
      </c>
      <c r="AT11" s="32">
        <v>0.0</v>
      </c>
      <c r="AU11" s="32">
        <v>0.0</v>
      </c>
      <c r="AV11" s="32">
        <v>0.0</v>
      </c>
      <c r="AW11" s="32">
        <v>0.0</v>
      </c>
      <c r="AX11" s="32">
        <v>0.0</v>
      </c>
      <c r="AY11" s="32">
        <v>0.0</v>
      </c>
      <c r="AZ11" s="32">
        <v>0.0</v>
      </c>
      <c r="BA11" s="32">
        <v>0.0</v>
      </c>
      <c r="BB11" s="32">
        <v>0.0</v>
      </c>
      <c r="BC11" s="32">
        <v>0.0</v>
      </c>
    </row>
    <row r="12">
      <c r="A12" s="4" t="s">
        <v>36</v>
      </c>
      <c r="B12" s="16">
        <f t="shared" si="2"/>
        <v>71.56666667</v>
      </c>
      <c r="C12" s="6">
        <f>'2023 все бани'!M1*2</f>
        <v>48</v>
      </c>
      <c r="D12" s="7">
        <v>0.0</v>
      </c>
      <c r="E12" s="7">
        <v>0.0</v>
      </c>
      <c r="F12" s="7">
        <v>0.0</v>
      </c>
      <c r="G12" s="7">
        <v>0.0</v>
      </c>
      <c r="H12" s="7">
        <v>0.0</v>
      </c>
      <c r="I12" s="7">
        <v>0.0</v>
      </c>
      <c r="J12" s="7">
        <v>0.0</v>
      </c>
      <c r="K12" s="7">
        <v>0.0</v>
      </c>
      <c r="L12" s="7">
        <v>0.0</v>
      </c>
      <c r="M12" s="7">
        <v>0.0</v>
      </c>
      <c r="N12" s="7">
        <v>0.0</v>
      </c>
      <c r="O12" s="7">
        <v>0.0</v>
      </c>
      <c r="P12" s="7">
        <v>0.0</v>
      </c>
      <c r="Q12" s="7">
        <v>0.0</v>
      </c>
      <c r="R12" s="7">
        <v>0.0</v>
      </c>
      <c r="S12" s="7">
        <v>0.0</v>
      </c>
      <c r="T12" s="7">
        <v>0.3333333333</v>
      </c>
      <c r="U12" s="7">
        <v>1.0</v>
      </c>
      <c r="V12" s="7">
        <v>0.0</v>
      </c>
      <c r="W12" s="7">
        <v>3.0</v>
      </c>
      <c r="X12" s="7">
        <v>0.0</v>
      </c>
      <c r="Y12" s="7">
        <v>0.0</v>
      </c>
      <c r="Z12" s="7">
        <v>0.0</v>
      </c>
      <c r="AA12" s="7">
        <v>0.0</v>
      </c>
      <c r="AB12" s="7">
        <v>0.2</v>
      </c>
      <c r="AC12" s="7">
        <v>0.0</v>
      </c>
      <c r="AD12" s="7">
        <v>0.0</v>
      </c>
      <c r="AE12" s="7">
        <v>0.0</v>
      </c>
      <c r="AF12" s="7">
        <v>0.0</v>
      </c>
      <c r="AG12" s="7">
        <v>0.6</v>
      </c>
      <c r="AH12" s="7">
        <v>0.25</v>
      </c>
      <c r="AI12" s="7">
        <f t="shared" ref="AI12:AI14" si="23">6/5</f>
        <v>1.2</v>
      </c>
      <c r="AJ12" s="7">
        <f>11/5</f>
        <v>2.2</v>
      </c>
      <c r="AK12" s="7">
        <v>0.0</v>
      </c>
      <c r="AL12" s="7">
        <v>0.0</v>
      </c>
      <c r="AM12" s="7">
        <v>0.0</v>
      </c>
      <c r="AN12" s="7">
        <v>0.2</v>
      </c>
      <c r="AO12" s="32">
        <v>0.0</v>
      </c>
      <c r="AP12" s="32">
        <v>0.0</v>
      </c>
      <c r="AQ12" s="32">
        <v>0.0</v>
      </c>
      <c r="AR12" s="32">
        <v>0.0</v>
      </c>
      <c r="AS12" s="32">
        <v>0.0</v>
      </c>
      <c r="AT12" s="32">
        <v>10.0</v>
      </c>
      <c r="AU12" s="32">
        <v>0.0</v>
      </c>
      <c r="AV12" s="32">
        <v>0.0</v>
      </c>
      <c r="AW12" s="7">
        <f>(5+3+2+1)/4</f>
        <v>2.75</v>
      </c>
      <c r="AX12" s="4">
        <v>0.0</v>
      </c>
      <c r="AY12" s="49">
        <f>1/3</f>
        <v>0.3333333333</v>
      </c>
      <c r="AZ12" s="4">
        <f>(2+1)/2</f>
        <v>1.5</v>
      </c>
      <c r="BA12" s="4">
        <v>0.0</v>
      </c>
      <c r="BB12" s="4">
        <v>0.0</v>
      </c>
      <c r="BC12" s="4">
        <v>0.0</v>
      </c>
    </row>
    <row r="13">
      <c r="A13" s="4" t="s">
        <v>34</v>
      </c>
      <c r="B13" s="16">
        <f t="shared" si="2"/>
        <v>62.03333333</v>
      </c>
      <c r="C13" s="6">
        <f>'2023 все бани'!H1*2</f>
        <v>28</v>
      </c>
      <c r="D13" s="7">
        <v>0.0</v>
      </c>
      <c r="E13" s="7">
        <v>0.0</v>
      </c>
      <c r="F13" s="7">
        <v>0.0</v>
      </c>
      <c r="G13" s="7">
        <v>0.0</v>
      </c>
      <c r="H13" s="7">
        <v>3.0</v>
      </c>
      <c r="I13" s="7">
        <v>0.5</v>
      </c>
      <c r="J13" s="7">
        <f>1/6</f>
        <v>0.1666666667</v>
      </c>
      <c r="K13" s="7">
        <v>0.0</v>
      </c>
      <c r="L13" s="7">
        <v>0.0</v>
      </c>
      <c r="M13" s="7">
        <v>0.0</v>
      </c>
      <c r="N13" s="7">
        <v>0.0</v>
      </c>
      <c r="O13" s="7">
        <v>0.0</v>
      </c>
      <c r="P13" s="7">
        <v>0.0</v>
      </c>
      <c r="Q13" s="7">
        <v>0.0</v>
      </c>
      <c r="R13" s="7">
        <v>0.0</v>
      </c>
      <c r="S13" s="7">
        <v>0.0</v>
      </c>
      <c r="T13" s="7">
        <v>0.0</v>
      </c>
      <c r="U13" s="7">
        <v>1.0</v>
      </c>
      <c r="V13" s="7">
        <v>0.0</v>
      </c>
      <c r="W13" s="7">
        <v>0.0</v>
      </c>
      <c r="X13" s="7">
        <v>0.0</v>
      </c>
      <c r="Y13" s="7">
        <v>0.0</v>
      </c>
      <c r="Z13" s="7">
        <v>1.0</v>
      </c>
      <c r="AA13" s="7">
        <v>0.0</v>
      </c>
      <c r="AB13" s="7">
        <v>0.2</v>
      </c>
      <c r="AC13" s="7">
        <v>0.0</v>
      </c>
      <c r="AD13" s="7">
        <f>10/3</f>
        <v>3.333333333</v>
      </c>
      <c r="AE13" s="7">
        <v>0.0</v>
      </c>
      <c r="AF13" s="7">
        <v>0.0</v>
      </c>
      <c r="AG13" s="7">
        <v>0.0</v>
      </c>
      <c r="AH13" s="7">
        <f>10/3</f>
        <v>3.333333333</v>
      </c>
      <c r="AI13" s="7">
        <f t="shared" si="23"/>
        <v>1.2</v>
      </c>
      <c r="AJ13" s="7">
        <v>0.0</v>
      </c>
      <c r="AK13" s="7">
        <v>0.2</v>
      </c>
      <c r="AL13" s="7">
        <v>0.5</v>
      </c>
      <c r="AM13" s="7">
        <v>0.0</v>
      </c>
      <c r="AN13" s="7">
        <v>2.5</v>
      </c>
      <c r="AO13" s="7">
        <v>1.0</v>
      </c>
      <c r="AP13" s="7">
        <v>0.0</v>
      </c>
      <c r="AQ13" s="7">
        <f t="shared" ref="AQ13:AQ14" si="24">(2+1)/5</f>
        <v>0.6</v>
      </c>
      <c r="AR13" s="7">
        <v>0.0</v>
      </c>
      <c r="AS13" s="7">
        <v>0.0</v>
      </c>
      <c r="AT13" s="7">
        <f>(1)/4</f>
        <v>0.25</v>
      </c>
      <c r="AU13" s="4">
        <f>(7+5+3)/3</f>
        <v>5</v>
      </c>
      <c r="AV13" s="7">
        <f t="shared" ref="AV13:AV14" si="25">(2+1)/4</f>
        <v>0.75</v>
      </c>
      <c r="AW13" s="4">
        <v>0.0</v>
      </c>
      <c r="AX13" s="4">
        <f>(5+3)/2</f>
        <v>4</v>
      </c>
      <c r="AY13" s="4">
        <v>0.0</v>
      </c>
      <c r="AZ13" s="4">
        <v>0.0</v>
      </c>
      <c r="BA13" s="6">
        <f>(2+1)/3</f>
        <v>1</v>
      </c>
      <c r="BB13" s="6">
        <f>(3+2)/2</f>
        <v>2.5</v>
      </c>
      <c r="BC13" s="6">
        <f>(3+2+1)/3</f>
        <v>2</v>
      </c>
    </row>
    <row r="14">
      <c r="A14" s="4" t="s">
        <v>44</v>
      </c>
      <c r="B14" s="16">
        <f t="shared" si="2"/>
        <v>53.63333333</v>
      </c>
      <c r="C14" s="6">
        <f>'2023 все бани'!N1*2</f>
        <v>16</v>
      </c>
      <c r="D14" s="7">
        <v>0.0</v>
      </c>
      <c r="E14" s="7">
        <v>0.0</v>
      </c>
      <c r="F14" s="7">
        <v>0.0</v>
      </c>
      <c r="G14" s="7">
        <v>0.0</v>
      </c>
      <c r="H14" s="7">
        <v>0.0</v>
      </c>
      <c r="I14" s="7">
        <v>0.0</v>
      </c>
      <c r="J14" s="7">
        <v>0.0</v>
      </c>
      <c r="K14" s="7">
        <v>0.0</v>
      </c>
      <c r="L14" s="7">
        <v>0.0</v>
      </c>
      <c r="M14" s="7">
        <f>11/4</f>
        <v>2.75</v>
      </c>
      <c r="N14" s="7">
        <v>0.0</v>
      </c>
      <c r="O14" s="7">
        <v>0.0</v>
      </c>
      <c r="P14" s="7">
        <v>0.0</v>
      </c>
      <c r="Q14" s="7">
        <v>0.0</v>
      </c>
      <c r="R14" s="7">
        <v>0.0</v>
      </c>
      <c r="S14" s="7">
        <v>0.0</v>
      </c>
      <c r="T14" s="7">
        <v>3.333333333</v>
      </c>
      <c r="U14" s="7">
        <v>0.0</v>
      </c>
      <c r="V14" s="7">
        <v>0.0</v>
      </c>
      <c r="W14" s="7">
        <v>0.0</v>
      </c>
      <c r="X14" s="7">
        <v>10.0</v>
      </c>
      <c r="Y14" s="7">
        <v>10.0</v>
      </c>
      <c r="Z14" s="7">
        <v>5</v>
      </c>
      <c r="AA14" s="7">
        <v>0.0</v>
      </c>
      <c r="AB14" s="7">
        <v>0.0</v>
      </c>
      <c r="AC14" s="7">
        <v>0.0</v>
      </c>
      <c r="AD14" s="7">
        <v>0.0</v>
      </c>
      <c r="AE14" s="7">
        <v>0.0</v>
      </c>
      <c r="AF14" s="7">
        <v>0.0</v>
      </c>
      <c r="AG14" s="7">
        <v>0.0</v>
      </c>
      <c r="AH14" s="7">
        <v>0.0</v>
      </c>
      <c r="AI14" s="7">
        <f t="shared" si="23"/>
        <v>1.2</v>
      </c>
      <c r="AJ14" s="7">
        <v>0.0</v>
      </c>
      <c r="AK14" s="7">
        <v>0.0</v>
      </c>
      <c r="AL14" s="7">
        <v>0.0</v>
      </c>
      <c r="AM14" s="7">
        <v>0.0</v>
      </c>
      <c r="AN14" s="7">
        <v>0.0</v>
      </c>
      <c r="AO14" s="7">
        <v>4.0</v>
      </c>
      <c r="AP14" s="7">
        <v>0.0</v>
      </c>
      <c r="AQ14" s="7">
        <f t="shared" si="24"/>
        <v>0.6</v>
      </c>
      <c r="AR14" s="4">
        <v>0.0</v>
      </c>
      <c r="AS14" s="4">
        <v>0.0</v>
      </c>
      <c r="AT14" s="4">
        <v>0.0</v>
      </c>
      <c r="AU14" s="4">
        <v>0.0</v>
      </c>
      <c r="AV14" s="7">
        <f t="shared" si="25"/>
        <v>0.75</v>
      </c>
      <c r="AW14" s="4">
        <v>0.0</v>
      </c>
      <c r="AX14" s="4">
        <v>0.0</v>
      </c>
      <c r="AY14" s="4">
        <v>0.0</v>
      </c>
      <c r="AZ14" s="4">
        <v>0.0</v>
      </c>
      <c r="BA14" s="4">
        <v>0.0</v>
      </c>
      <c r="BB14" s="4">
        <v>0.0</v>
      </c>
      <c r="BC14" s="4">
        <v>0.0</v>
      </c>
    </row>
    <row r="15">
      <c r="A15" s="4" t="s">
        <v>47</v>
      </c>
      <c r="B15" s="16">
        <f t="shared" si="2"/>
        <v>45.91666667</v>
      </c>
      <c r="C15" s="6">
        <f>'2023 все бани'!U1*2</f>
        <v>6</v>
      </c>
      <c r="D15" s="7">
        <v>0.0</v>
      </c>
      <c r="E15" s="7">
        <v>0.0</v>
      </c>
      <c r="F15" s="7">
        <v>0.0</v>
      </c>
      <c r="G15" s="7">
        <v>0.0</v>
      </c>
      <c r="H15" s="7">
        <v>5.0</v>
      </c>
      <c r="I15" s="7">
        <v>0.0</v>
      </c>
      <c r="J15" s="7">
        <f>17/4</f>
        <v>4.25</v>
      </c>
      <c r="K15" s="7">
        <v>0.3333333333</v>
      </c>
      <c r="L15" s="7">
        <v>0.0</v>
      </c>
      <c r="M15" s="7">
        <v>0.0</v>
      </c>
      <c r="N15" s="7">
        <v>0.0</v>
      </c>
      <c r="O15" s="7">
        <v>0.0</v>
      </c>
      <c r="P15" s="7">
        <v>8.5</v>
      </c>
      <c r="Q15" s="7">
        <v>10.0</v>
      </c>
      <c r="R15" s="7">
        <v>10.0</v>
      </c>
      <c r="S15" s="7">
        <v>0.0</v>
      </c>
      <c r="T15" s="7">
        <v>0.3333333333</v>
      </c>
      <c r="U15" s="7">
        <v>1.0</v>
      </c>
      <c r="V15" s="7">
        <v>0.0</v>
      </c>
      <c r="W15" s="7">
        <v>0.0</v>
      </c>
      <c r="X15" s="7">
        <v>0.0</v>
      </c>
      <c r="Y15" s="7">
        <v>0.0</v>
      </c>
      <c r="Z15" s="7">
        <v>0.0</v>
      </c>
      <c r="AA15" s="7">
        <v>0.0</v>
      </c>
      <c r="AB15" s="7">
        <v>0.0</v>
      </c>
      <c r="AC15" s="7">
        <v>0.5</v>
      </c>
      <c r="AD15" s="7">
        <v>0.0</v>
      </c>
      <c r="AE15" s="7">
        <v>0.0</v>
      </c>
      <c r="AF15" s="7">
        <v>0.0</v>
      </c>
      <c r="AG15" s="7">
        <v>0.0</v>
      </c>
      <c r="AH15" s="7">
        <v>0.0</v>
      </c>
      <c r="AI15" s="7">
        <v>0.0</v>
      </c>
      <c r="AJ15" s="7">
        <v>0.0</v>
      </c>
      <c r="AK15" s="7">
        <v>0.0</v>
      </c>
      <c r="AL15" s="7">
        <v>0.0</v>
      </c>
      <c r="AM15" s="7">
        <v>0.0</v>
      </c>
      <c r="AN15" s="7">
        <v>0.0</v>
      </c>
      <c r="AO15" s="7">
        <v>0.0</v>
      </c>
      <c r="AP15" s="7">
        <v>0.0</v>
      </c>
      <c r="AQ15" s="7">
        <v>0.0</v>
      </c>
      <c r="AR15" s="7">
        <v>0.0</v>
      </c>
      <c r="AS15" s="7">
        <v>0.0</v>
      </c>
      <c r="AT15" s="7">
        <v>0.0</v>
      </c>
      <c r="AU15" s="7">
        <v>0.0</v>
      </c>
      <c r="AV15" s="7">
        <v>0.0</v>
      </c>
      <c r="AW15" s="7">
        <v>0.0</v>
      </c>
      <c r="AX15" s="7">
        <v>0.0</v>
      </c>
      <c r="AY15" s="7">
        <v>0.0</v>
      </c>
      <c r="AZ15" s="7">
        <v>0.0</v>
      </c>
      <c r="BA15" s="7">
        <v>0.0</v>
      </c>
      <c r="BB15" s="7">
        <v>0.0</v>
      </c>
      <c r="BC15" s="7">
        <v>0.0</v>
      </c>
    </row>
    <row r="16">
      <c r="A16" s="4" t="s">
        <v>1262</v>
      </c>
      <c r="B16" s="16">
        <f t="shared" si="2"/>
        <v>34.91666667</v>
      </c>
      <c r="C16" s="6">
        <f>'2023 все бани'!X1*2</f>
        <v>26</v>
      </c>
      <c r="D16" s="7">
        <v>0.0</v>
      </c>
      <c r="E16" s="7">
        <v>0.0</v>
      </c>
      <c r="F16" s="7">
        <v>3.0</v>
      </c>
      <c r="G16" s="7">
        <v>0.0</v>
      </c>
      <c r="H16" s="7">
        <v>0.0</v>
      </c>
      <c r="I16" s="7">
        <v>3.0</v>
      </c>
      <c r="J16" s="7">
        <f>1/6</f>
        <v>0.1666666667</v>
      </c>
      <c r="K16" s="7">
        <v>0.0</v>
      </c>
      <c r="L16" s="7">
        <v>0.0</v>
      </c>
      <c r="M16" s="7">
        <v>0.0</v>
      </c>
      <c r="N16" s="7">
        <v>0.0</v>
      </c>
      <c r="O16" s="7">
        <v>0.0</v>
      </c>
      <c r="P16" s="7">
        <v>0.0</v>
      </c>
      <c r="Q16" s="7">
        <v>0.0</v>
      </c>
      <c r="R16" s="7">
        <v>2.75</v>
      </c>
      <c r="S16" s="7">
        <v>0.0</v>
      </c>
      <c r="T16" s="7">
        <v>0.0</v>
      </c>
      <c r="U16" s="7">
        <v>0.0</v>
      </c>
      <c r="V16" s="7">
        <v>0.0</v>
      </c>
      <c r="W16" s="7">
        <v>0.0</v>
      </c>
      <c r="X16" s="7">
        <v>0.0</v>
      </c>
      <c r="Y16" s="7">
        <v>0.0</v>
      </c>
      <c r="Z16" s="7">
        <v>0.0</v>
      </c>
      <c r="AA16" s="7">
        <v>0.0</v>
      </c>
      <c r="AB16" s="7">
        <v>0.0</v>
      </c>
      <c r="AC16" s="7">
        <v>0.0</v>
      </c>
      <c r="AD16" s="7">
        <v>0.0</v>
      </c>
      <c r="AE16" s="7">
        <v>0.0</v>
      </c>
      <c r="AF16" s="7">
        <v>0.0</v>
      </c>
      <c r="AG16" s="7">
        <v>0.0</v>
      </c>
      <c r="AH16" s="7">
        <v>0.0</v>
      </c>
      <c r="AI16" s="7">
        <v>0.0</v>
      </c>
      <c r="AJ16" s="7">
        <v>0.0</v>
      </c>
      <c r="AK16" s="7">
        <v>0.0</v>
      </c>
      <c r="AL16" s="7">
        <v>0.0</v>
      </c>
      <c r="AM16" s="7">
        <v>0.0</v>
      </c>
      <c r="AN16" s="7">
        <v>0.0</v>
      </c>
      <c r="AO16" s="7">
        <v>0.0</v>
      </c>
      <c r="AP16" s="7">
        <v>0.0</v>
      </c>
      <c r="AQ16" s="7">
        <v>0.0</v>
      </c>
      <c r="AR16" s="7">
        <v>0.0</v>
      </c>
      <c r="AS16" s="7">
        <v>0.0</v>
      </c>
      <c r="AT16" s="7">
        <v>0.0</v>
      </c>
      <c r="AU16" s="7">
        <v>0.0</v>
      </c>
      <c r="AV16" s="7">
        <v>0.0</v>
      </c>
      <c r="AW16" s="7">
        <v>0.0</v>
      </c>
      <c r="AX16" s="7">
        <v>0.0</v>
      </c>
      <c r="AY16" s="7">
        <v>0.0</v>
      </c>
      <c r="AZ16" s="7">
        <v>0.0</v>
      </c>
      <c r="BA16" s="7">
        <v>0.0</v>
      </c>
      <c r="BB16" s="7">
        <v>0.0</v>
      </c>
      <c r="BC16" s="7">
        <v>0.0</v>
      </c>
    </row>
    <row r="17">
      <c r="A17" s="4" t="s">
        <v>42</v>
      </c>
      <c r="B17" s="16">
        <f t="shared" si="2"/>
        <v>31.21666667</v>
      </c>
      <c r="C17" s="6">
        <f>'2023 все бани'!S1*2</f>
        <v>18</v>
      </c>
      <c r="D17" s="7">
        <v>0.0</v>
      </c>
      <c r="E17" s="7">
        <v>0.0</v>
      </c>
      <c r="F17" s="7">
        <v>0.0</v>
      </c>
      <c r="G17" s="7">
        <v>0.0</v>
      </c>
      <c r="H17" s="7">
        <v>0.0</v>
      </c>
      <c r="I17" s="7">
        <v>0.0</v>
      </c>
      <c r="J17" s="7">
        <f>17/4</f>
        <v>4.25</v>
      </c>
      <c r="K17" s="7">
        <v>0.0</v>
      </c>
      <c r="L17" s="7">
        <v>0.0</v>
      </c>
      <c r="M17" s="7">
        <v>0.0</v>
      </c>
      <c r="N17" s="7">
        <v>0.0</v>
      </c>
      <c r="O17" s="7">
        <v>0.0</v>
      </c>
      <c r="P17" s="7">
        <v>0.0</v>
      </c>
      <c r="Q17" s="7">
        <v>0.0</v>
      </c>
      <c r="R17" s="7">
        <v>0.0</v>
      </c>
      <c r="S17" s="7">
        <v>0.0</v>
      </c>
      <c r="T17" s="7">
        <v>0.0</v>
      </c>
      <c r="U17" s="7">
        <v>0.0</v>
      </c>
      <c r="V17" s="7">
        <v>0.0</v>
      </c>
      <c r="W17" s="7">
        <v>0.0</v>
      </c>
      <c r="X17" s="7">
        <v>0.0</v>
      </c>
      <c r="Y17" s="7">
        <v>0.0</v>
      </c>
      <c r="Z17" s="7">
        <v>0.0</v>
      </c>
      <c r="AA17" s="7">
        <v>0.75</v>
      </c>
      <c r="AB17" s="7">
        <v>0.0</v>
      </c>
      <c r="AC17" s="7">
        <v>0.0</v>
      </c>
      <c r="AD17" s="7">
        <v>0.0</v>
      </c>
      <c r="AE17" s="7">
        <v>0.0</v>
      </c>
      <c r="AF17" s="7">
        <v>1.0</v>
      </c>
      <c r="AG17" s="7">
        <v>0.6</v>
      </c>
      <c r="AH17" s="7">
        <v>0.0</v>
      </c>
      <c r="AI17" s="7">
        <v>0.0</v>
      </c>
      <c r="AJ17" s="7">
        <v>0.0</v>
      </c>
      <c r="AK17" s="7">
        <v>0.2</v>
      </c>
      <c r="AL17" s="7">
        <v>3.333333333</v>
      </c>
      <c r="AM17" s="7">
        <f>11/4</f>
        <v>2.75</v>
      </c>
      <c r="AN17" s="32">
        <v>0.0</v>
      </c>
      <c r="AO17" s="32">
        <v>0.0</v>
      </c>
      <c r="AP17" s="32">
        <v>0.0</v>
      </c>
      <c r="AQ17" s="32">
        <v>0.0</v>
      </c>
      <c r="AR17" s="7">
        <f t="shared" ref="AR17:AR18" si="26">1/3</f>
        <v>0.3333333333</v>
      </c>
      <c r="AS17" s="4">
        <v>0.0</v>
      </c>
      <c r="AT17" s="4">
        <v>0.0</v>
      </c>
      <c r="AU17" s="4">
        <v>0.0</v>
      </c>
      <c r="AV17" s="4">
        <v>0.0</v>
      </c>
      <c r="AW17" s="4">
        <v>0.0</v>
      </c>
      <c r="AX17" s="4">
        <v>0.0</v>
      </c>
      <c r="AY17" s="4">
        <v>0.0</v>
      </c>
      <c r="AZ17" s="4">
        <v>0.0</v>
      </c>
      <c r="BA17" s="4">
        <v>0.0</v>
      </c>
      <c r="BB17" s="4">
        <v>0.0</v>
      </c>
      <c r="BC17" s="4">
        <v>0.0</v>
      </c>
    </row>
    <row r="18">
      <c r="A18" s="4" t="s">
        <v>29</v>
      </c>
      <c r="B18" s="16">
        <f t="shared" si="2"/>
        <v>28.36666667</v>
      </c>
      <c r="C18" s="6">
        <f>'2023 все бани'!L1*2</f>
        <v>14</v>
      </c>
      <c r="D18" s="7">
        <v>0.0</v>
      </c>
      <c r="E18" s="7">
        <v>0.0</v>
      </c>
      <c r="F18" s="7">
        <v>0.0</v>
      </c>
      <c r="G18" s="7">
        <v>0.0</v>
      </c>
      <c r="H18" s="7">
        <v>0.0</v>
      </c>
      <c r="I18" s="7">
        <v>0.0</v>
      </c>
      <c r="J18" s="7">
        <v>0.0</v>
      </c>
      <c r="K18" s="7">
        <v>0.0</v>
      </c>
      <c r="L18" s="7">
        <v>0.0</v>
      </c>
      <c r="M18" s="7">
        <v>0.0</v>
      </c>
      <c r="N18" s="7">
        <v>0.0</v>
      </c>
      <c r="O18" s="7">
        <v>0.0</v>
      </c>
      <c r="P18" s="7">
        <f>10/3</f>
        <v>3.333333333</v>
      </c>
      <c r="Q18" s="7">
        <v>0.0</v>
      </c>
      <c r="R18" s="7">
        <v>0.0</v>
      </c>
      <c r="S18" s="7">
        <v>0.0</v>
      </c>
      <c r="T18" s="7">
        <v>0.0</v>
      </c>
      <c r="U18" s="7">
        <v>0.0</v>
      </c>
      <c r="V18" s="7">
        <v>0.0</v>
      </c>
      <c r="W18" s="7">
        <v>0.0</v>
      </c>
      <c r="X18" s="7">
        <v>0.0</v>
      </c>
      <c r="Y18" s="7">
        <v>0.0</v>
      </c>
      <c r="Z18" s="7">
        <v>0.0</v>
      </c>
      <c r="AA18" s="7">
        <v>0.0</v>
      </c>
      <c r="AB18" s="7">
        <v>0.0</v>
      </c>
      <c r="AC18" s="7">
        <v>0.0</v>
      </c>
      <c r="AD18" s="7">
        <v>0.0</v>
      </c>
      <c r="AE18" s="7">
        <v>0.0</v>
      </c>
      <c r="AF18" s="7">
        <v>0.0</v>
      </c>
      <c r="AG18" s="7">
        <v>0.0</v>
      </c>
      <c r="AH18" s="7">
        <v>0.0</v>
      </c>
      <c r="AI18" s="7">
        <f>6/5</f>
        <v>1.2</v>
      </c>
      <c r="AJ18" s="7">
        <v>0.0</v>
      </c>
      <c r="AK18" s="7">
        <v>0.0</v>
      </c>
      <c r="AL18" s="7">
        <v>0.0</v>
      </c>
      <c r="AM18" s="7">
        <v>0.0</v>
      </c>
      <c r="AN18" s="32">
        <v>0.0</v>
      </c>
      <c r="AO18" s="32">
        <v>0.0</v>
      </c>
      <c r="AP18" s="7">
        <v>0.0</v>
      </c>
      <c r="AQ18" s="7">
        <f>(10+7)/2</f>
        <v>8.5</v>
      </c>
      <c r="AR18" s="7">
        <f t="shared" si="26"/>
        <v>0.3333333333</v>
      </c>
      <c r="AS18" s="4">
        <v>0.0</v>
      </c>
      <c r="AT18" s="4">
        <v>0.0</v>
      </c>
      <c r="AU18" s="4">
        <v>0.0</v>
      </c>
      <c r="AV18" s="4">
        <v>0.0</v>
      </c>
      <c r="AW18" s="4">
        <v>0.0</v>
      </c>
      <c r="AX18" s="4">
        <v>0.0</v>
      </c>
      <c r="AY18" s="4">
        <v>0.0</v>
      </c>
      <c r="AZ18" s="4">
        <v>0.0</v>
      </c>
      <c r="BA18" s="4">
        <v>0.0</v>
      </c>
      <c r="BB18" s="4">
        <v>1.0</v>
      </c>
      <c r="BC18" s="4">
        <v>0.0</v>
      </c>
    </row>
    <row r="19">
      <c r="A19" s="4" t="s">
        <v>1339</v>
      </c>
      <c r="B19" s="16">
        <f t="shared" si="2"/>
        <v>26.95</v>
      </c>
      <c r="C19" s="6">
        <f>'2023 все бани'!P1*2</f>
        <v>8</v>
      </c>
      <c r="D19" s="7">
        <v>0.0</v>
      </c>
      <c r="E19" s="7">
        <v>0.0</v>
      </c>
      <c r="F19" s="7">
        <v>0.0</v>
      </c>
      <c r="G19" s="7">
        <v>0.0</v>
      </c>
      <c r="H19" s="7">
        <v>0.0</v>
      </c>
      <c r="I19" s="7">
        <v>0.0</v>
      </c>
      <c r="J19" s="7">
        <v>0.0</v>
      </c>
      <c r="K19" s="7">
        <v>0.0</v>
      </c>
      <c r="L19" s="7">
        <v>0.0</v>
      </c>
      <c r="M19" s="7">
        <v>0.0</v>
      </c>
      <c r="N19" s="7">
        <v>0.0</v>
      </c>
      <c r="O19" s="7">
        <v>0.0</v>
      </c>
      <c r="P19" s="7">
        <v>0.0</v>
      </c>
      <c r="Q19" s="7">
        <v>0.0</v>
      </c>
      <c r="R19" s="7">
        <v>0.0</v>
      </c>
      <c r="S19" s="7">
        <v>0.0</v>
      </c>
      <c r="T19" s="7">
        <v>0.0</v>
      </c>
      <c r="U19" s="7">
        <v>0.0</v>
      </c>
      <c r="V19" s="7">
        <v>0.0</v>
      </c>
      <c r="W19" s="7">
        <v>0.0</v>
      </c>
      <c r="X19" s="7">
        <v>0.0</v>
      </c>
      <c r="Y19" s="7">
        <v>0.0</v>
      </c>
      <c r="Z19" s="7">
        <v>0.0</v>
      </c>
      <c r="AA19" s="7">
        <v>0.0</v>
      </c>
      <c r="AB19" s="7">
        <v>0.0</v>
      </c>
      <c r="AC19" s="7">
        <v>0.0</v>
      </c>
      <c r="AD19" s="7">
        <v>0.0</v>
      </c>
      <c r="AE19" s="7">
        <v>0.0</v>
      </c>
      <c r="AF19" s="7">
        <v>0.0</v>
      </c>
      <c r="AG19" s="7">
        <v>0.6</v>
      </c>
      <c r="AH19" s="7">
        <v>0.0</v>
      </c>
      <c r="AI19" s="7">
        <v>6.0</v>
      </c>
      <c r="AJ19" s="7">
        <f>11/5</f>
        <v>2.2</v>
      </c>
      <c r="AK19" s="7">
        <v>6.0</v>
      </c>
      <c r="AL19" s="7">
        <v>0.0</v>
      </c>
      <c r="AM19" s="7">
        <v>0.0</v>
      </c>
      <c r="AN19" s="7">
        <v>0.2</v>
      </c>
      <c r="AO19" s="32">
        <v>0.0</v>
      </c>
      <c r="AP19" s="7">
        <v>0.2</v>
      </c>
      <c r="AQ19" s="32">
        <v>0.0</v>
      </c>
      <c r="AR19" s="7">
        <v>0.0</v>
      </c>
      <c r="AS19" s="7">
        <v>0.0</v>
      </c>
      <c r="AT19" s="7">
        <f>(1)/4</f>
        <v>0.25</v>
      </c>
      <c r="AU19" s="4">
        <v>0.0</v>
      </c>
      <c r="AV19" s="7">
        <f>(2+1)/4</f>
        <v>0.75</v>
      </c>
      <c r="AW19" s="7">
        <f>(5+3+2+1)/4</f>
        <v>2.75</v>
      </c>
      <c r="AX19" s="4">
        <v>0.0</v>
      </c>
      <c r="AY19" s="4">
        <v>0.0</v>
      </c>
      <c r="AZ19" s="4">
        <v>0.0</v>
      </c>
      <c r="BA19" s="4">
        <v>0.0</v>
      </c>
      <c r="BB19" s="4">
        <v>0.0</v>
      </c>
      <c r="BC19" s="4">
        <v>0.0</v>
      </c>
    </row>
    <row r="20">
      <c r="A20" s="4" t="s">
        <v>39</v>
      </c>
      <c r="B20" s="8">
        <f t="shared" si="2"/>
        <v>24.4</v>
      </c>
      <c r="C20" s="6">
        <f>'2023 все бани'!J1*2</f>
        <v>14</v>
      </c>
      <c r="D20" s="7">
        <v>0.0</v>
      </c>
      <c r="E20" s="7">
        <v>0.0</v>
      </c>
      <c r="F20" s="7">
        <v>0.0</v>
      </c>
      <c r="G20" s="7">
        <v>0.0</v>
      </c>
      <c r="H20" s="7">
        <v>0.0</v>
      </c>
      <c r="I20" s="7">
        <v>0.0</v>
      </c>
      <c r="J20" s="7">
        <v>0.0</v>
      </c>
      <c r="K20" s="7">
        <v>0.0</v>
      </c>
      <c r="L20" s="7">
        <v>0.0</v>
      </c>
      <c r="M20" s="7">
        <v>0.0</v>
      </c>
      <c r="N20" s="7">
        <v>0.0</v>
      </c>
      <c r="O20" s="7">
        <v>0.0</v>
      </c>
      <c r="P20" s="7">
        <v>0.0</v>
      </c>
      <c r="Q20" s="7">
        <v>0.0</v>
      </c>
      <c r="R20" s="7">
        <v>0.0</v>
      </c>
      <c r="S20" s="7">
        <v>0.0</v>
      </c>
      <c r="T20" s="7">
        <v>0.0</v>
      </c>
      <c r="U20" s="7">
        <v>1.0</v>
      </c>
      <c r="V20" s="7">
        <v>0.0</v>
      </c>
      <c r="W20" s="7">
        <v>0.0</v>
      </c>
      <c r="X20" s="7">
        <v>0.0</v>
      </c>
      <c r="Y20" s="7">
        <v>0.0</v>
      </c>
      <c r="Z20" s="7">
        <v>0.0</v>
      </c>
      <c r="AA20" s="7">
        <v>0.0</v>
      </c>
      <c r="AB20" s="7">
        <v>0.0</v>
      </c>
      <c r="AC20" s="7">
        <v>0.0</v>
      </c>
      <c r="AD20" s="7">
        <v>0.0</v>
      </c>
      <c r="AE20" s="7">
        <v>0.0</v>
      </c>
      <c r="AF20" s="7">
        <v>0.0</v>
      </c>
      <c r="AG20" s="7">
        <v>0.0</v>
      </c>
      <c r="AH20" s="7">
        <v>0.0</v>
      </c>
      <c r="AI20" s="7">
        <v>0.0</v>
      </c>
      <c r="AJ20" s="7">
        <v>0.0</v>
      </c>
      <c r="AK20" s="7">
        <v>0.0</v>
      </c>
      <c r="AL20" s="7">
        <v>0.0</v>
      </c>
      <c r="AM20" s="7">
        <v>0.0</v>
      </c>
      <c r="AN20" s="32">
        <v>0.0</v>
      </c>
      <c r="AO20" s="32">
        <v>0.0</v>
      </c>
      <c r="AP20" s="32">
        <v>0.0</v>
      </c>
      <c r="AQ20" s="32">
        <v>0.0</v>
      </c>
      <c r="AR20" s="4">
        <v>0.0</v>
      </c>
      <c r="AS20" s="4">
        <v>0.0</v>
      </c>
      <c r="AT20" s="4">
        <v>0.0</v>
      </c>
      <c r="AU20" s="4">
        <v>0.0</v>
      </c>
      <c r="AV20" s="4">
        <v>0.0</v>
      </c>
      <c r="AW20" s="4">
        <v>0.0</v>
      </c>
      <c r="AX20" s="4">
        <f>(2+1)/3</f>
        <v>1</v>
      </c>
      <c r="AY20" s="4">
        <f>(10+7+5+3+2)/5</f>
        <v>5.4</v>
      </c>
      <c r="AZ20" s="4">
        <v>0.0</v>
      </c>
      <c r="BA20" s="6">
        <f>(2+1)/3</f>
        <v>1</v>
      </c>
      <c r="BB20" s="4">
        <v>0.0</v>
      </c>
      <c r="BC20" s="6">
        <f>(3+2+1)/3</f>
        <v>2</v>
      </c>
    </row>
    <row r="21">
      <c r="A21" s="4" t="s">
        <v>33</v>
      </c>
      <c r="B21" s="16">
        <f t="shared" si="2"/>
        <v>22.81111111</v>
      </c>
      <c r="C21" s="6">
        <f>'2023 все бани'!R1*2</f>
        <v>22</v>
      </c>
      <c r="D21" s="7">
        <v>0.0</v>
      </c>
      <c r="E21" s="7">
        <v>0.0</v>
      </c>
      <c r="F21" s="7">
        <v>0.0</v>
      </c>
      <c r="G21" s="7">
        <v>0.0</v>
      </c>
      <c r="H21" s="7">
        <v>0.0</v>
      </c>
      <c r="I21" s="7">
        <v>0.0</v>
      </c>
      <c r="J21" s="7">
        <v>0.0</v>
      </c>
      <c r="K21" s="7">
        <v>0.0</v>
      </c>
      <c r="L21" s="7">
        <v>0.0</v>
      </c>
      <c r="M21" s="7">
        <v>0.0</v>
      </c>
      <c r="N21" s="7">
        <v>0.0</v>
      </c>
      <c r="O21" s="7">
        <v>0.0</v>
      </c>
      <c r="P21" s="7">
        <f t="shared" ref="P21:P25" si="27">1/9</f>
        <v>0.1111111111</v>
      </c>
      <c r="Q21" s="7">
        <v>0.0</v>
      </c>
      <c r="R21" s="7">
        <v>0.0</v>
      </c>
      <c r="S21" s="7">
        <v>0.0</v>
      </c>
      <c r="T21" s="7">
        <v>0.0</v>
      </c>
      <c r="U21" s="7">
        <v>0.0</v>
      </c>
      <c r="V21" s="7">
        <v>0.0</v>
      </c>
      <c r="W21" s="7">
        <v>0.0</v>
      </c>
      <c r="X21" s="7">
        <v>0.0</v>
      </c>
      <c r="Y21" s="7">
        <v>0.0</v>
      </c>
      <c r="Z21" s="7">
        <v>0.0</v>
      </c>
      <c r="AA21" s="7">
        <v>0.0</v>
      </c>
      <c r="AB21" s="7">
        <v>0.0</v>
      </c>
      <c r="AC21" s="7">
        <v>0.5</v>
      </c>
      <c r="AD21" s="7">
        <v>0.0</v>
      </c>
      <c r="AE21" s="7">
        <v>0.0</v>
      </c>
      <c r="AF21" s="7">
        <v>0.0</v>
      </c>
      <c r="AG21" s="7">
        <v>0.0</v>
      </c>
      <c r="AH21" s="7">
        <v>0.0</v>
      </c>
      <c r="AI21" s="7">
        <v>0.0</v>
      </c>
      <c r="AJ21" s="7">
        <v>0.0</v>
      </c>
      <c r="AK21" s="7">
        <v>0.0</v>
      </c>
      <c r="AL21" s="7">
        <v>0.0</v>
      </c>
      <c r="AM21" s="7">
        <v>0.0</v>
      </c>
      <c r="AN21" s="32">
        <v>0.0</v>
      </c>
      <c r="AO21" s="32">
        <v>0.0</v>
      </c>
      <c r="AP21" s="7">
        <v>0.2</v>
      </c>
      <c r="AQ21" s="32">
        <v>0.0</v>
      </c>
      <c r="AR21" s="4">
        <v>0.0</v>
      </c>
      <c r="AS21" s="4">
        <v>0.0</v>
      </c>
      <c r="AT21" s="4">
        <v>0.0</v>
      </c>
      <c r="AU21" s="4">
        <v>0.0</v>
      </c>
      <c r="AV21" s="4">
        <v>0.0</v>
      </c>
      <c r="AW21" s="4">
        <v>0.0</v>
      </c>
      <c r="AX21" s="4">
        <v>0.0</v>
      </c>
      <c r="AY21" s="4">
        <v>0.0</v>
      </c>
      <c r="AZ21" s="4">
        <v>0.0</v>
      </c>
      <c r="BA21" s="4">
        <v>0.0</v>
      </c>
      <c r="BB21" s="4">
        <v>0.0</v>
      </c>
      <c r="BC21" s="4">
        <v>0.0</v>
      </c>
    </row>
    <row r="22">
      <c r="A22" s="4" t="s">
        <v>30</v>
      </c>
      <c r="B22" s="16">
        <f t="shared" si="2"/>
        <v>18.54444444</v>
      </c>
      <c r="C22" s="6">
        <f>'2023 все бани'!Y1*2</f>
        <v>14</v>
      </c>
      <c r="D22" s="7">
        <f>3/5</f>
        <v>0.6</v>
      </c>
      <c r="E22" s="7">
        <v>0.0</v>
      </c>
      <c r="F22" s="7">
        <v>0.0</v>
      </c>
      <c r="G22" s="7">
        <v>0.0</v>
      </c>
      <c r="H22" s="7">
        <v>0.0</v>
      </c>
      <c r="I22" s="7">
        <v>0.5</v>
      </c>
      <c r="J22" s="7">
        <v>0.0</v>
      </c>
      <c r="K22" s="7">
        <v>0.0</v>
      </c>
      <c r="L22" s="7">
        <v>1.5</v>
      </c>
      <c r="M22" s="7">
        <v>0.0</v>
      </c>
      <c r="N22" s="7">
        <v>0.0</v>
      </c>
      <c r="O22" s="7">
        <v>0.0</v>
      </c>
      <c r="P22" s="7">
        <f t="shared" si="27"/>
        <v>0.1111111111</v>
      </c>
      <c r="Q22" s="7">
        <f>1/3</f>
        <v>0.3333333333</v>
      </c>
      <c r="R22" s="7">
        <v>0.0</v>
      </c>
      <c r="S22" s="7">
        <v>1.5</v>
      </c>
      <c r="T22" s="7">
        <v>0.0</v>
      </c>
      <c r="U22" s="7">
        <v>0.0</v>
      </c>
      <c r="V22" s="7">
        <v>0.0</v>
      </c>
      <c r="W22" s="7">
        <v>0.0</v>
      </c>
      <c r="X22" s="7">
        <v>0.0</v>
      </c>
      <c r="Y22" s="7">
        <v>0.0</v>
      </c>
      <c r="Z22" s="7">
        <v>0.0</v>
      </c>
      <c r="AA22" s="7">
        <v>0.0</v>
      </c>
      <c r="AB22" s="7">
        <v>0.0</v>
      </c>
      <c r="AC22" s="7">
        <v>0.0</v>
      </c>
      <c r="AD22" s="7">
        <v>0.0</v>
      </c>
      <c r="AE22" s="7">
        <v>0.0</v>
      </c>
      <c r="AF22" s="7">
        <v>0.0</v>
      </c>
      <c r="AG22" s="7">
        <v>0.0</v>
      </c>
      <c r="AH22" s="7">
        <v>0.0</v>
      </c>
      <c r="AI22" s="7">
        <v>0.0</v>
      </c>
      <c r="AJ22" s="7">
        <v>0.0</v>
      </c>
      <c r="AK22" s="7">
        <v>0.0</v>
      </c>
      <c r="AL22" s="7">
        <v>0.0</v>
      </c>
      <c r="AM22" s="7">
        <v>0.0</v>
      </c>
      <c r="AN22" s="7">
        <v>0.0</v>
      </c>
      <c r="AO22" s="7">
        <v>0.0</v>
      </c>
      <c r="AP22" s="7">
        <v>0.0</v>
      </c>
      <c r="AQ22" s="7">
        <v>0.0</v>
      </c>
      <c r="AR22" s="7">
        <v>0.0</v>
      </c>
      <c r="AS22" s="7">
        <v>0.0</v>
      </c>
      <c r="AT22" s="7">
        <v>0.0</v>
      </c>
      <c r="AU22" s="7">
        <v>0.0</v>
      </c>
      <c r="AV22" s="7">
        <v>0.0</v>
      </c>
      <c r="AW22" s="7">
        <v>0.0</v>
      </c>
      <c r="AX22" s="7">
        <v>0.0</v>
      </c>
      <c r="AY22" s="7">
        <v>0.0</v>
      </c>
      <c r="AZ22" s="7">
        <v>0.0</v>
      </c>
      <c r="BA22" s="7">
        <v>0.0</v>
      </c>
      <c r="BB22" s="7">
        <v>0.0</v>
      </c>
      <c r="BC22" s="7">
        <v>0.0</v>
      </c>
    </row>
    <row r="23">
      <c r="A23" s="4" t="s">
        <v>50</v>
      </c>
      <c r="B23" s="16">
        <f t="shared" si="2"/>
        <v>12.31111111</v>
      </c>
      <c r="C23" s="6">
        <f>'2023 все бани'!V1*2</f>
        <v>12</v>
      </c>
      <c r="D23" s="7">
        <v>0.0</v>
      </c>
      <c r="E23" s="7">
        <v>0.0</v>
      </c>
      <c r="F23" s="7">
        <v>0.0</v>
      </c>
      <c r="G23" s="7">
        <v>0.0</v>
      </c>
      <c r="H23" s="7">
        <v>0.0</v>
      </c>
      <c r="I23" s="7">
        <v>0.0</v>
      </c>
      <c r="J23" s="7">
        <v>0.0</v>
      </c>
      <c r="K23" s="7">
        <v>0.0</v>
      </c>
      <c r="L23" s="7">
        <v>0.0</v>
      </c>
      <c r="M23" s="7">
        <v>0.0</v>
      </c>
      <c r="N23" s="7">
        <v>0.0</v>
      </c>
      <c r="O23" s="7">
        <v>0.0</v>
      </c>
      <c r="P23" s="7">
        <f t="shared" si="27"/>
        <v>0.1111111111</v>
      </c>
      <c r="Q23" s="7">
        <v>0.0</v>
      </c>
      <c r="R23" s="7">
        <v>0.0</v>
      </c>
      <c r="S23" s="7">
        <v>0.0</v>
      </c>
      <c r="T23" s="7">
        <v>0.0</v>
      </c>
      <c r="U23" s="7">
        <v>0.0</v>
      </c>
      <c r="V23" s="7">
        <v>0.0</v>
      </c>
      <c r="W23" s="7">
        <v>0.0</v>
      </c>
      <c r="X23" s="7">
        <v>0.0</v>
      </c>
      <c r="Y23" s="7">
        <v>0.0</v>
      </c>
      <c r="Z23" s="7">
        <v>0.0</v>
      </c>
      <c r="AA23" s="7">
        <v>0.0</v>
      </c>
      <c r="AB23" s="7">
        <v>0.2</v>
      </c>
      <c r="AC23" s="7">
        <v>0.0</v>
      </c>
      <c r="AD23" s="7">
        <v>0.0</v>
      </c>
      <c r="AE23" s="7">
        <v>0.0</v>
      </c>
      <c r="AF23" s="7">
        <v>0.0</v>
      </c>
      <c r="AG23" s="7">
        <v>0.0</v>
      </c>
      <c r="AH23" s="7">
        <v>0.0</v>
      </c>
      <c r="AI23" s="7">
        <v>0.0</v>
      </c>
      <c r="AJ23" s="7">
        <v>0.0</v>
      </c>
      <c r="AK23" s="7">
        <v>0.0</v>
      </c>
      <c r="AL23" s="7">
        <v>0.0</v>
      </c>
      <c r="AM23" s="7">
        <v>0.0</v>
      </c>
      <c r="AN23" s="7">
        <v>0.0</v>
      </c>
      <c r="AO23" s="7">
        <v>0.0</v>
      </c>
      <c r="AP23" s="7">
        <v>0.0</v>
      </c>
      <c r="AQ23" s="7">
        <v>0.0</v>
      </c>
      <c r="AR23" s="7">
        <v>0.0</v>
      </c>
      <c r="AS23" s="7">
        <v>0.0</v>
      </c>
      <c r="AT23" s="7">
        <v>0.0</v>
      </c>
      <c r="AU23" s="7">
        <v>0.0</v>
      </c>
      <c r="AV23" s="7">
        <v>0.0</v>
      </c>
      <c r="AW23" s="7">
        <v>0.0</v>
      </c>
      <c r="AX23" s="7">
        <v>0.0</v>
      </c>
      <c r="AY23" s="7">
        <v>0.0</v>
      </c>
      <c r="AZ23" s="7">
        <v>0.0</v>
      </c>
      <c r="BA23" s="7">
        <v>0.0</v>
      </c>
      <c r="BB23" s="7">
        <v>0.0</v>
      </c>
      <c r="BC23" s="7">
        <v>0.0</v>
      </c>
    </row>
    <row r="24">
      <c r="A24" s="4" t="s">
        <v>38</v>
      </c>
      <c r="B24" s="16">
        <f t="shared" si="2"/>
        <v>11.84444444</v>
      </c>
      <c r="C24" s="6">
        <f>'2023 все бани'!O1*2</f>
        <v>8</v>
      </c>
      <c r="D24" s="7">
        <v>0.0</v>
      </c>
      <c r="E24" s="7">
        <v>0.0</v>
      </c>
      <c r="F24" s="7">
        <v>0.0</v>
      </c>
      <c r="G24" s="7">
        <v>0.0</v>
      </c>
      <c r="H24" s="7">
        <v>0.0</v>
      </c>
      <c r="I24" s="7">
        <v>0.0</v>
      </c>
      <c r="J24" s="7">
        <v>0.0</v>
      </c>
      <c r="K24" s="7">
        <v>0.0</v>
      </c>
      <c r="L24" s="7">
        <v>0.0</v>
      </c>
      <c r="M24" s="7">
        <v>0.0</v>
      </c>
      <c r="N24" s="7">
        <v>0.0</v>
      </c>
      <c r="O24" s="7">
        <v>0.0</v>
      </c>
      <c r="P24" s="7">
        <f t="shared" si="27"/>
        <v>0.1111111111</v>
      </c>
      <c r="Q24" s="7">
        <v>0.0</v>
      </c>
      <c r="R24" s="7">
        <v>0.0</v>
      </c>
      <c r="S24" s="7">
        <v>0.0</v>
      </c>
      <c r="T24" s="7">
        <v>0.0</v>
      </c>
      <c r="U24" s="7">
        <v>0.0</v>
      </c>
      <c r="V24" s="7">
        <v>0.0</v>
      </c>
      <c r="W24" s="7">
        <v>0.0</v>
      </c>
      <c r="X24" s="7">
        <v>0.0</v>
      </c>
      <c r="Y24" s="7">
        <v>0.0</v>
      </c>
      <c r="Z24" s="7">
        <v>0.0</v>
      </c>
      <c r="AA24" s="7">
        <v>0.0</v>
      </c>
      <c r="AB24" s="7">
        <v>0.2</v>
      </c>
      <c r="AC24" s="7">
        <v>0.0</v>
      </c>
      <c r="AD24" s="7">
        <v>0.0</v>
      </c>
      <c r="AE24" s="7">
        <v>0.0</v>
      </c>
      <c r="AF24" s="7">
        <v>0.0</v>
      </c>
      <c r="AG24" s="7">
        <v>0.0</v>
      </c>
      <c r="AH24" s="7">
        <v>0.0</v>
      </c>
      <c r="AI24" s="7">
        <v>0.0</v>
      </c>
      <c r="AJ24" s="7">
        <f>11/5</f>
        <v>2.2</v>
      </c>
      <c r="AK24" s="7">
        <v>0.0</v>
      </c>
      <c r="AL24" s="7">
        <v>0.0</v>
      </c>
      <c r="AM24" s="7">
        <v>0.0</v>
      </c>
      <c r="AN24" s="32">
        <v>0.0</v>
      </c>
      <c r="AO24" s="32">
        <v>0.0</v>
      </c>
      <c r="AP24" s="32">
        <v>0.0</v>
      </c>
      <c r="AQ24" s="32">
        <v>0.0</v>
      </c>
      <c r="AR24" s="4">
        <v>0.0</v>
      </c>
      <c r="AS24" s="4">
        <v>0.0</v>
      </c>
      <c r="AT24" s="4">
        <v>0.0</v>
      </c>
      <c r="AU24" s="4">
        <v>0.0</v>
      </c>
      <c r="AV24" s="4">
        <v>0.0</v>
      </c>
      <c r="AW24" s="4">
        <v>0.0</v>
      </c>
      <c r="AX24" s="4">
        <f>(2+1)/3</f>
        <v>1</v>
      </c>
      <c r="AY24" s="49">
        <f>1/3</f>
        <v>0.3333333333</v>
      </c>
      <c r="AZ24" s="4">
        <v>0.0</v>
      </c>
      <c r="BA24" s="4">
        <v>0.0</v>
      </c>
      <c r="BB24" s="4">
        <v>0.0</v>
      </c>
      <c r="BC24" s="4">
        <v>0.0</v>
      </c>
    </row>
    <row r="25">
      <c r="A25" s="4" t="s">
        <v>1338</v>
      </c>
      <c r="B25" s="16">
        <f t="shared" si="2"/>
        <v>2.111111111</v>
      </c>
      <c r="C25" s="6">
        <f>'2023 все бани'!Z1*2</f>
        <v>2</v>
      </c>
      <c r="D25" s="7">
        <v>0.0</v>
      </c>
      <c r="E25" s="7">
        <v>0.0</v>
      </c>
      <c r="F25" s="7">
        <v>0.0</v>
      </c>
      <c r="G25" s="7">
        <v>0.0</v>
      </c>
      <c r="H25" s="7">
        <v>0.0</v>
      </c>
      <c r="I25" s="7">
        <v>0.0</v>
      </c>
      <c r="J25" s="7">
        <v>0.0</v>
      </c>
      <c r="K25" s="7">
        <v>0.0</v>
      </c>
      <c r="L25" s="7">
        <v>0.0</v>
      </c>
      <c r="M25" s="7">
        <v>0.0</v>
      </c>
      <c r="N25" s="7">
        <v>0.0</v>
      </c>
      <c r="O25" s="7">
        <v>0.0</v>
      </c>
      <c r="P25" s="7">
        <f t="shared" si="27"/>
        <v>0.1111111111</v>
      </c>
      <c r="Q25" s="7">
        <v>0.0</v>
      </c>
      <c r="R25" s="7">
        <v>0.0</v>
      </c>
      <c r="S25" s="7">
        <v>0.0</v>
      </c>
      <c r="T25" s="7">
        <v>0.0</v>
      </c>
      <c r="U25" s="7">
        <v>0.0</v>
      </c>
      <c r="V25" s="7">
        <v>0.0</v>
      </c>
      <c r="W25" s="7">
        <v>0.0</v>
      </c>
      <c r="X25" s="7">
        <v>0.0</v>
      </c>
      <c r="Y25" s="7">
        <v>0.0</v>
      </c>
      <c r="Z25" s="7">
        <v>0.0</v>
      </c>
      <c r="AA25" s="7">
        <v>0.0</v>
      </c>
      <c r="AB25" s="7">
        <v>0.0</v>
      </c>
      <c r="AC25" s="7">
        <v>0.0</v>
      </c>
      <c r="AD25" s="7">
        <v>0.0</v>
      </c>
      <c r="AE25" s="7">
        <v>0.0</v>
      </c>
      <c r="AF25" s="7">
        <v>0.0</v>
      </c>
      <c r="AG25" s="7">
        <v>0.0</v>
      </c>
      <c r="AH25" s="7">
        <v>0.0</v>
      </c>
      <c r="AI25" s="7">
        <v>0.0</v>
      </c>
      <c r="AJ25" s="7">
        <v>0.0</v>
      </c>
      <c r="AK25" s="7">
        <v>0.0</v>
      </c>
      <c r="AL25" s="7">
        <v>0.0</v>
      </c>
      <c r="AM25" s="7">
        <v>0.0</v>
      </c>
      <c r="AN25" s="7">
        <v>0.0</v>
      </c>
      <c r="AO25" s="7">
        <v>0.0</v>
      </c>
      <c r="AP25" s="7">
        <v>0.0</v>
      </c>
      <c r="AQ25" s="7">
        <v>0.0</v>
      </c>
      <c r="AR25" s="7">
        <v>0.0</v>
      </c>
      <c r="AS25" s="7">
        <v>0.0</v>
      </c>
      <c r="AT25" s="7">
        <v>0.0</v>
      </c>
      <c r="AU25" s="7">
        <v>0.0</v>
      </c>
      <c r="AV25" s="7">
        <v>0.0</v>
      </c>
      <c r="AW25" s="7">
        <v>0.0</v>
      </c>
      <c r="AX25" s="7">
        <v>0.0</v>
      </c>
      <c r="AY25" s="7">
        <v>0.0</v>
      </c>
      <c r="AZ25" s="7">
        <v>0.0</v>
      </c>
      <c r="BA25" s="7">
        <v>0.0</v>
      </c>
      <c r="BB25" s="7">
        <v>0.0</v>
      </c>
      <c r="BC25" s="7">
        <v>0.0</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6.25"/>
    <col customWidth="1" min="3" max="53" width="4.5"/>
    <col customWidth="1" min="54" max="55" width="5.0"/>
    <col customWidth="1" min="56" max="57" width="4.5"/>
  </cols>
  <sheetData>
    <row r="1">
      <c r="A1" s="8"/>
      <c r="B1" s="3">
        <f>SUM(B3:B190)</f>
        <v>1276</v>
      </c>
      <c r="C1" s="3">
        <f t="shared" ref="C1:BB1" si="1">SUM(C3:C100)</f>
        <v>42</v>
      </c>
      <c r="D1" s="3">
        <f t="shared" si="1"/>
        <v>60</v>
      </c>
      <c r="E1" s="3">
        <f t="shared" si="1"/>
        <v>46</v>
      </c>
      <c r="F1" s="3">
        <f t="shared" si="1"/>
        <v>70</v>
      </c>
      <c r="G1" s="3">
        <f t="shared" si="1"/>
        <v>88</v>
      </c>
      <c r="H1" s="3">
        <f t="shared" si="1"/>
        <v>17</v>
      </c>
      <c r="I1" s="3">
        <f t="shared" si="1"/>
        <v>17</v>
      </c>
      <c r="J1" s="3">
        <f t="shared" si="1"/>
        <v>43</v>
      </c>
      <c r="K1" s="3">
        <f t="shared" si="1"/>
        <v>26</v>
      </c>
      <c r="L1" s="3">
        <f t="shared" si="1"/>
        <v>23</v>
      </c>
      <c r="M1" s="3">
        <f t="shared" si="1"/>
        <v>48</v>
      </c>
      <c r="N1" s="3">
        <f t="shared" si="1"/>
        <v>14</v>
      </c>
      <c r="O1" s="3">
        <f t="shared" si="1"/>
        <v>21</v>
      </c>
      <c r="P1" s="3">
        <f t="shared" si="1"/>
        <v>16</v>
      </c>
      <c r="Q1" s="3">
        <f t="shared" si="1"/>
        <v>18</v>
      </c>
      <c r="R1" s="3">
        <f t="shared" si="1"/>
        <v>30</v>
      </c>
      <c r="S1" s="3">
        <f t="shared" si="1"/>
        <v>31</v>
      </c>
      <c r="T1" s="3">
        <f t="shared" si="1"/>
        <v>29</v>
      </c>
      <c r="U1" s="3">
        <f t="shared" si="1"/>
        <v>22</v>
      </c>
      <c r="V1" s="3">
        <f t="shared" si="1"/>
        <v>20</v>
      </c>
      <c r="W1" s="3">
        <f t="shared" si="1"/>
        <v>23</v>
      </c>
      <c r="X1" s="3">
        <f t="shared" si="1"/>
        <v>36</v>
      </c>
      <c r="Y1" s="3">
        <f t="shared" si="1"/>
        <v>23</v>
      </c>
      <c r="Z1" s="3">
        <f t="shared" si="1"/>
        <v>42</v>
      </c>
      <c r="AA1" s="3">
        <f t="shared" si="1"/>
        <v>18</v>
      </c>
      <c r="AB1" s="3">
        <f t="shared" si="1"/>
        <v>15</v>
      </c>
      <c r="AC1" s="3">
        <f t="shared" si="1"/>
        <v>14</v>
      </c>
      <c r="AD1" s="3">
        <f t="shared" si="1"/>
        <v>20</v>
      </c>
      <c r="AE1" s="3">
        <f t="shared" si="1"/>
        <v>27</v>
      </c>
      <c r="AF1" s="3">
        <f t="shared" si="1"/>
        <v>18</v>
      </c>
      <c r="AG1" s="3">
        <f t="shared" si="1"/>
        <v>18</v>
      </c>
      <c r="AH1" s="3">
        <f t="shared" si="1"/>
        <v>12</v>
      </c>
      <c r="AI1" s="3">
        <f t="shared" si="1"/>
        <v>11</v>
      </c>
      <c r="AJ1" s="3">
        <f t="shared" si="1"/>
        <v>19</v>
      </c>
      <c r="AK1" s="3">
        <f t="shared" si="1"/>
        <v>16</v>
      </c>
      <c r="AL1" s="3">
        <f t="shared" si="1"/>
        <v>9</v>
      </c>
      <c r="AM1" s="3">
        <f t="shared" si="1"/>
        <v>18</v>
      </c>
      <c r="AN1" s="3">
        <f t="shared" si="1"/>
        <v>13</v>
      </c>
      <c r="AO1" s="3">
        <f t="shared" si="1"/>
        <v>19</v>
      </c>
      <c r="AP1" s="3">
        <f t="shared" si="1"/>
        <v>17</v>
      </c>
      <c r="AQ1" s="3">
        <f t="shared" si="1"/>
        <v>17</v>
      </c>
      <c r="AR1" s="3">
        <f t="shared" si="1"/>
        <v>21</v>
      </c>
      <c r="AS1" s="3">
        <f t="shared" si="1"/>
        <v>23</v>
      </c>
      <c r="AT1" s="3">
        <f t="shared" si="1"/>
        <v>11</v>
      </c>
      <c r="AU1" s="3">
        <f t="shared" si="1"/>
        <v>13</v>
      </c>
      <c r="AV1" s="3">
        <f t="shared" si="1"/>
        <v>8</v>
      </c>
      <c r="AW1" s="3">
        <f t="shared" si="1"/>
        <v>13</v>
      </c>
      <c r="AX1" s="3">
        <f t="shared" si="1"/>
        <v>13</v>
      </c>
      <c r="AY1" s="3">
        <f t="shared" si="1"/>
        <v>32</v>
      </c>
      <c r="AZ1" s="3">
        <f t="shared" si="1"/>
        <v>16</v>
      </c>
      <c r="BA1" s="3">
        <f t="shared" si="1"/>
        <v>17</v>
      </c>
      <c r="BB1" s="3">
        <f t="shared" si="1"/>
        <v>23</v>
      </c>
      <c r="BC1" s="50"/>
      <c r="BE1" s="4"/>
    </row>
    <row r="2">
      <c r="B2" s="4" t="s">
        <v>51</v>
      </c>
      <c r="C2" s="4" t="s">
        <v>1219</v>
      </c>
      <c r="D2" s="4" t="s">
        <v>1220</v>
      </c>
      <c r="E2" s="4" t="s">
        <v>1221</v>
      </c>
      <c r="F2" s="4" t="s">
        <v>1222</v>
      </c>
      <c r="G2" s="4" t="s">
        <v>1223</v>
      </c>
      <c r="H2" s="4" t="s">
        <v>1224</v>
      </c>
      <c r="I2" s="4" t="s">
        <v>1225</v>
      </c>
      <c r="J2" s="4" t="s">
        <v>1226</v>
      </c>
      <c r="K2" s="4" t="s">
        <v>1227</v>
      </c>
      <c r="L2" s="4" t="s">
        <v>1228</v>
      </c>
      <c r="M2" s="4" t="s">
        <v>1229</v>
      </c>
      <c r="N2" s="4" t="s">
        <v>1230</v>
      </c>
      <c r="O2" s="4" t="s">
        <v>1231</v>
      </c>
      <c r="P2" s="4" t="s">
        <v>1232</v>
      </c>
      <c r="Q2" s="4" t="s">
        <v>1233</v>
      </c>
      <c r="R2" s="4" t="s">
        <v>1234</v>
      </c>
      <c r="S2" s="4" t="s">
        <v>1235</v>
      </c>
      <c r="T2" s="4" t="s">
        <v>1417</v>
      </c>
      <c r="U2" s="4" t="s">
        <v>1418</v>
      </c>
      <c r="V2" s="4" t="s">
        <v>1419</v>
      </c>
      <c r="W2" s="4" t="s">
        <v>1420</v>
      </c>
      <c r="X2" s="4" t="s">
        <v>1421</v>
      </c>
      <c r="Y2" s="4" t="s">
        <v>1422</v>
      </c>
      <c r="Z2" s="4" t="s">
        <v>1423</v>
      </c>
      <c r="AA2" s="4" t="s">
        <v>1424</v>
      </c>
      <c r="AB2" s="4" t="s">
        <v>1425</v>
      </c>
      <c r="AC2" s="4" t="s">
        <v>1426</v>
      </c>
      <c r="AD2" s="4" t="s">
        <v>1246</v>
      </c>
      <c r="AE2" s="4" t="s">
        <v>1247</v>
      </c>
      <c r="AF2" s="4" t="s">
        <v>1248</v>
      </c>
      <c r="AG2" s="4" t="s">
        <v>1249</v>
      </c>
      <c r="AH2" s="4" t="s">
        <v>1250</v>
      </c>
      <c r="AI2" s="4" t="s">
        <v>1251</v>
      </c>
      <c r="AJ2" s="4" t="s">
        <v>1252</v>
      </c>
      <c r="AK2" s="4" t="s">
        <v>1253</v>
      </c>
      <c r="AL2" s="4" t="s">
        <v>1254</v>
      </c>
      <c r="AM2" s="4" t="s">
        <v>1255</v>
      </c>
      <c r="AN2" s="4" t="s">
        <v>1256</v>
      </c>
      <c r="AO2" s="4" t="s">
        <v>1257</v>
      </c>
      <c r="AP2" s="4" t="s">
        <v>1258</v>
      </c>
      <c r="AQ2" s="4" t="s">
        <v>1259</v>
      </c>
      <c r="AR2" s="4" t="s">
        <v>1260</v>
      </c>
      <c r="AS2" s="4" t="s">
        <v>1261</v>
      </c>
      <c r="AT2" s="4" t="s">
        <v>52</v>
      </c>
      <c r="AU2" s="4" t="s">
        <v>10</v>
      </c>
      <c r="AV2" s="4" t="s">
        <v>11</v>
      </c>
      <c r="AW2" s="4" t="s">
        <v>12</v>
      </c>
      <c r="AX2" s="4" t="s">
        <v>13</v>
      </c>
      <c r="AY2" s="4" t="s">
        <v>14</v>
      </c>
      <c r="AZ2" s="4" t="s">
        <v>15</v>
      </c>
      <c r="BA2" s="4" t="s">
        <v>16</v>
      </c>
      <c r="BB2" s="50" t="s">
        <v>17</v>
      </c>
      <c r="BC2" s="50"/>
      <c r="BE2" s="4"/>
    </row>
    <row r="3">
      <c r="A3" s="4" t="s">
        <v>23</v>
      </c>
      <c r="B3" s="3">
        <f t="shared" ref="B3:B26" si="2">SUM(C3:BB3)</f>
        <v>168</v>
      </c>
      <c r="C3" s="4">
        <v>11.0</v>
      </c>
      <c r="D3" s="4">
        <v>4.0</v>
      </c>
      <c r="E3" s="4">
        <v>3.0</v>
      </c>
      <c r="F3" s="4">
        <v>12.0</v>
      </c>
      <c r="G3" s="4">
        <v>5.0</v>
      </c>
      <c r="H3" s="4">
        <v>3.0</v>
      </c>
      <c r="I3" s="4">
        <v>2.0</v>
      </c>
      <c r="J3" s="4">
        <v>4.0</v>
      </c>
      <c r="K3" s="4">
        <v>1.0</v>
      </c>
      <c r="L3" s="4">
        <v>3.0</v>
      </c>
      <c r="M3" s="4">
        <v>3.0</v>
      </c>
      <c r="N3" s="4">
        <v>2.0</v>
      </c>
      <c r="O3" s="4">
        <v>3.0</v>
      </c>
      <c r="P3" s="4">
        <v>2.0</v>
      </c>
      <c r="Q3" s="4">
        <v>2.0</v>
      </c>
      <c r="R3" s="4">
        <v>4.0</v>
      </c>
      <c r="S3" s="4">
        <v>1.0</v>
      </c>
      <c r="T3" s="4">
        <v>2.0</v>
      </c>
      <c r="U3" s="4">
        <v>1.0</v>
      </c>
      <c r="V3" s="4">
        <v>2.0</v>
      </c>
      <c r="W3" s="4">
        <v>2.0</v>
      </c>
      <c r="X3" s="4">
        <v>5.0</v>
      </c>
      <c r="Y3" s="4">
        <v>3.0</v>
      </c>
      <c r="Z3" s="4">
        <v>6.0</v>
      </c>
      <c r="AA3" s="4">
        <v>3.0</v>
      </c>
      <c r="AB3" s="4">
        <v>1.0</v>
      </c>
      <c r="AC3" s="4">
        <v>2.0</v>
      </c>
      <c r="AD3" s="4">
        <v>4.0</v>
      </c>
      <c r="AE3" s="4">
        <v>4.0</v>
      </c>
      <c r="AF3" s="4">
        <v>4.0</v>
      </c>
      <c r="AG3" s="4">
        <v>2.0</v>
      </c>
      <c r="AH3" s="4">
        <v>2.0</v>
      </c>
      <c r="AI3" s="4">
        <v>2.0</v>
      </c>
      <c r="AJ3" s="4">
        <v>3.0</v>
      </c>
      <c r="AK3" s="4">
        <v>2.0</v>
      </c>
      <c r="AL3" s="4">
        <v>3.0</v>
      </c>
      <c r="AM3" s="4">
        <v>3.0</v>
      </c>
      <c r="AN3" s="4">
        <v>2.0</v>
      </c>
      <c r="AO3" s="4">
        <v>2.0</v>
      </c>
      <c r="AP3" s="4">
        <v>4.0</v>
      </c>
      <c r="AQ3" s="4">
        <v>4.0</v>
      </c>
      <c r="AR3" s="4">
        <v>3.0</v>
      </c>
      <c r="AS3" s="4">
        <v>3.0</v>
      </c>
      <c r="AT3" s="4">
        <v>3.0</v>
      </c>
      <c r="AU3" s="4">
        <v>2.0</v>
      </c>
      <c r="AV3" s="4">
        <v>2.0</v>
      </c>
      <c r="AW3" s="4">
        <v>3.0</v>
      </c>
      <c r="AX3" s="4">
        <v>2.0</v>
      </c>
      <c r="AY3" s="4">
        <v>5.0</v>
      </c>
      <c r="AZ3" s="4">
        <v>3.0</v>
      </c>
      <c r="BA3" s="4">
        <v>4.0</v>
      </c>
      <c r="BB3" s="4">
        <v>5.0</v>
      </c>
      <c r="BC3" s="4"/>
    </row>
    <row r="4">
      <c r="A4" s="4" t="s">
        <v>26</v>
      </c>
      <c r="B4" s="3">
        <f t="shared" si="2"/>
        <v>154</v>
      </c>
      <c r="C4" s="4">
        <v>7.0</v>
      </c>
      <c r="D4" s="4">
        <v>5.0</v>
      </c>
      <c r="E4" s="4">
        <v>1.0</v>
      </c>
      <c r="F4" s="4">
        <v>0.0</v>
      </c>
      <c r="G4" s="4">
        <v>19.0</v>
      </c>
      <c r="H4" s="4">
        <v>0.0</v>
      </c>
      <c r="I4" s="4">
        <v>3.0</v>
      </c>
      <c r="J4" s="4">
        <v>5.0</v>
      </c>
      <c r="K4" s="4">
        <v>3.0</v>
      </c>
      <c r="L4" s="4">
        <v>1.0</v>
      </c>
      <c r="M4" s="4">
        <v>8.0</v>
      </c>
      <c r="N4" s="4">
        <v>0.0</v>
      </c>
      <c r="O4" s="4">
        <v>1.0</v>
      </c>
      <c r="P4" s="4">
        <v>0.0</v>
      </c>
      <c r="Q4" s="4">
        <v>2.0</v>
      </c>
      <c r="R4" s="4">
        <v>3.0</v>
      </c>
      <c r="S4" s="4">
        <v>3.0</v>
      </c>
      <c r="T4" s="4">
        <v>4.0</v>
      </c>
      <c r="U4" s="4">
        <v>7.0</v>
      </c>
      <c r="V4" s="4">
        <v>2.0</v>
      </c>
      <c r="W4" s="4">
        <v>0.0</v>
      </c>
      <c r="X4" s="4">
        <v>4.0</v>
      </c>
      <c r="Y4" s="4">
        <v>2.0</v>
      </c>
      <c r="Z4" s="4">
        <v>7.0</v>
      </c>
      <c r="AA4" s="4">
        <v>2.0</v>
      </c>
      <c r="AB4" s="4">
        <v>2.0</v>
      </c>
      <c r="AC4" s="4">
        <v>3.0</v>
      </c>
      <c r="AD4" s="4">
        <v>1.0</v>
      </c>
      <c r="AE4" s="4">
        <v>3.0</v>
      </c>
      <c r="AF4" s="4">
        <v>3.0</v>
      </c>
      <c r="AG4" s="4">
        <v>3.0</v>
      </c>
      <c r="AH4" s="4">
        <v>3.0</v>
      </c>
      <c r="AI4" s="4">
        <v>4.0</v>
      </c>
      <c r="AJ4" s="4">
        <v>2.0</v>
      </c>
      <c r="AK4" s="4">
        <v>2.0</v>
      </c>
      <c r="AL4" s="4">
        <v>2.0</v>
      </c>
      <c r="AM4" s="4">
        <v>3.0</v>
      </c>
      <c r="AN4" s="4">
        <v>3.0</v>
      </c>
      <c r="AO4" s="4">
        <v>2.0</v>
      </c>
      <c r="AP4" s="4">
        <v>2.0</v>
      </c>
      <c r="AQ4" s="4">
        <v>0.0</v>
      </c>
      <c r="AR4" s="4">
        <v>3.0</v>
      </c>
      <c r="AS4" s="4">
        <v>2.0</v>
      </c>
      <c r="AT4" s="4">
        <v>2.0</v>
      </c>
      <c r="AU4" s="4">
        <v>2.0</v>
      </c>
      <c r="AV4" s="4">
        <v>0.0</v>
      </c>
      <c r="AW4" s="4">
        <v>1.0</v>
      </c>
      <c r="AX4" s="4">
        <v>2.0</v>
      </c>
      <c r="AY4" s="4">
        <v>8.0</v>
      </c>
      <c r="AZ4" s="4">
        <v>3.0</v>
      </c>
      <c r="BA4" s="4">
        <v>3.0</v>
      </c>
      <c r="BB4" s="4">
        <v>1.0</v>
      </c>
      <c r="BC4" s="4"/>
    </row>
    <row r="5">
      <c r="A5" s="4" t="s">
        <v>18</v>
      </c>
      <c r="B5" s="3">
        <f t="shared" si="2"/>
        <v>138</v>
      </c>
      <c r="C5" s="4">
        <v>4.0</v>
      </c>
      <c r="D5" s="4">
        <v>2.0</v>
      </c>
      <c r="E5" s="4">
        <v>2.0</v>
      </c>
      <c r="F5" s="4">
        <v>7.0</v>
      </c>
      <c r="G5" s="4">
        <v>5.0</v>
      </c>
      <c r="H5" s="4">
        <v>1.0</v>
      </c>
      <c r="I5" s="4">
        <v>0.0</v>
      </c>
      <c r="J5" s="4">
        <v>6.0</v>
      </c>
      <c r="K5" s="4">
        <v>3.0</v>
      </c>
      <c r="L5" s="4">
        <v>2.0</v>
      </c>
      <c r="M5" s="4">
        <v>4.0</v>
      </c>
      <c r="N5" s="4">
        <v>1.0</v>
      </c>
      <c r="O5" s="4">
        <v>2.0</v>
      </c>
      <c r="P5" s="4">
        <v>2.0</v>
      </c>
      <c r="Q5" s="4">
        <v>0.0</v>
      </c>
      <c r="R5" s="4">
        <v>2.0</v>
      </c>
      <c r="S5" s="4">
        <v>2.0</v>
      </c>
      <c r="T5" s="4">
        <v>0.0</v>
      </c>
      <c r="U5" s="4">
        <v>1.0</v>
      </c>
      <c r="V5" s="4">
        <v>2.0</v>
      </c>
      <c r="W5" s="4">
        <v>1.0</v>
      </c>
      <c r="X5" s="4">
        <v>4.0</v>
      </c>
      <c r="Y5" s="4">
        <v>3.0</v>
      </c>
      <c r="Z5" s="4">
        <v>7.0</v>
      </c>
      <c r="AA5" s="4">
        <v>2.0</v>
      </c>
      <c r="AB5" s="4">
        <v>3.0</v>
      </c>
      <c r="AC5" s="4">
        <v>3.0</v>
      </c>
      <c r="AD5" s="4">
        <v>3.0</v>
      </c>
      <c r="AE5" s="4">
        <v>1.0</v>
      </c>
      <c r="AF5" s="4">
        <v>4.0</v>
      </c>
      <c r="AG5" s="4">
        <v>5.0</v>
      </c>
      <c r="AH5" s="4">
        <v>0.0</v>
      </c>
      <c r="AI5" s="4">
        <v>0.0</v>
      </c>
      <c r="AJ5" s="4">
        <v>4.0</v>
      </c>
      <c r="AK5" s="4">
        <v>5.0</v>
      </c>
      <c r="AL5" s="4">
        <v>1.0</v>
      </c>
      <c r="AM5" s="4">
        <v>1.0</v>
      </c>
      <c r="AN5" s="4">
        <v>1.0</v>
      </c>
      <c r="AO5" s="4">
        <v>4.0</v>
      </c>
      <c r="AP5" s="4">
        <v>1.0</v>
      </c>
      <c r="AQ5" s="4">
        <v>3.0</v>
      </c>
      <c r="AR5" s="4">
        <v>3.0</v>
      </c>
      <c r="AS5" s="4">
        <v>2.0</v>
      </c>
      <c r="AT5" s="4">
        <v>2.0</v>
      </c>
      <c r="AU5" s="4">
        <v>1.0</v>
      </c>
      <c r="AV5" s="4">
        <v>0.0</v>
      </c>
      <c r="AW5" s="4">
        <v>2.0</v>
      </c>
      <c r="AX5" s="4">
        <v>2.0</v>
      </c>
      <c r="AY5" s="4">
        <v>7.0</v>
      </c>
      <c r="AZ5" s="4">
        <v>4.0</v>
      </c>
      <c r="BA5" s="4">
        <v>5.0</v>
      </c>
      <c r="BB5" s="4">
        <v>6.0</v>
      </c>
      <c r="BC5" s="4"/>
    </row>
    <row r="6">
      <c r="A6" s="4" t="s">
        <v>32</v>
      </c>
      <c r="B6" s="3">
        <f t="shared" si="2"/>
        <v>110</v>
      </c>
      <c r="C6" s="4">
        <v>2.0</v>
      </c>
      <c r="D6" s="4">
        <v>4.0</v>
      </c>
      <c r="E6" s="4">
        <v>10.0</v>
      </c>
      <c r="F6" s="4">
        <v>15.0</v>
      </c>
      <c r="G6" s="4">
        <v>5.0</v>
      </c>
      <c r="H6" s="4">
        <v>1.0</v>
      </c>
      <c r="I6" s="4">
        <v>2.0</v>
      </c>
      <c r="J6" s="4">
        <v>0.0</v>
      </c>
      <c r="K6" s="4">
        <v>1.0</v>
      </c>
      <c r="L6" s="4">
        <v>2.0</v>
      </c>
      <c r="M6" s="4">
        <v>6.0</v>
      </c>
      <c r="N6" s="4">
        <v>1.0</v>
      </c>
      <c r="O6" s="4">
        <v>1.0</v>
      </c>
      <c r="P6" s="4">
        <v>2.0</v>
      </c>
      <c r="Q6" s="4">
        <v>0.0</v>
      </c>
      <c r="R6" s="4">
        <v>2.0</v>
      </c>
      <c r="S6" s="4">
        <v>6.0</v>
      </c>
      <c r="T6" s="4">
        <v>4.0</v>
      </c>
      <c r="U6" s="4">
        <v>2.0</v>
      </c>
      <c r="V6" s="4">
        <v>2.0</v>
      </c>
      <c r="W6" s="4">
        <v>3.0</v>
      </c>
      <c r="X6" s="4">
        <v>3.0</v>
      </c>
      <c r="Y6" s="4">
        <v>1.0</v>
      </c>
      <c r="Z6" s="4">
        <v>3.0</v>
      </c>
      <c r="AA6" s="4">
        <v>4.0</v>
      </c>
      <c r="AB6" s="4">
        <v>2.0</v>
      </c>
      <c r="AC6" s="4">
        <v>1.0</v>
      </c>
      <c r="AD6" s="4">
        <v>2.0</v>
      </c>
      <c r="AE6" s="4">
        <v>2.0</v>
      </c>
      <c r="AF6" s="4">
        <v>0.0</v>
      </c>
      <c r="AG6" s="4">
        <v>1.0</v>
      </c>
      <c r="AH6" s="4">
        <v>0.0</v>
      </c>
      <c r="AI6" s="4">
        <v>1.0</v>
      </c>
      <c r="AJ6" s="4">
        <v>1.0</v>
      </c>
      <c r="AK6" s="4">
        <v>3.0</v>
      </c>
      <c r="AL6" s="4">
        <v>1.0</v>
      </c>
      <c r="AM6" s="4">
        <v>1.0</v>
      </c>
      <c r="AN6" s="4">
        <v>0.0</v>
      </c>
      <c r="AO6" s="4">
        <v>1.0</v>
      </c>
      <c r="AP6" s="4">
        <v>0.0</v>
      </c>
      <c r="AQ6" s="4">
        <v>2.0</v>
      </c>
      <c r="AR6" s="4">
        <v>2.0</v>
      </c>
      <c r="AS6" s="4">
        <v>2.0</v>
      </c>
      <c r="AT6" s="4">
        <v>1.0</v>
      </c>
      <c r="AU6" s="4">
        <v>2.0</v>
      </c>
      <c r="AV6" s="4">
        <v>1.0</v>
      </c>
      <c r="AW6" s="4">
        <v>0.0</v>
      </c>
      <c r="AX6" s="4">
        <v>1.0</v>
      </c>
      <c r="AY6" s="4">
        <v>0.0</v>
      </c>
      <c r="AZ6" s="4">
        <v>0.0</v>
      </c>
      <c r="BA6" s="4">
        <v>0.0</v>
      </c>
      <c r="BB6" s="4">
        <v>1.0</v>
      </c>
      <c r="BC6" s="4"/>
    </row>
    <row r="7">
      <c r="A7" s="4" t="s">
        <v>19</v>
      </c>
      <c r="B7" s="3">
        <f t="shared" si="2"/>
        <v>107</v>
      </c>
      <c r="C7" s="4">
        <v>2.0</v>
      </c>
      <c r="D7" s="4">
        <v>2.0</v>
      </c>
      <c r="E7" s="4">
        <v>0.0</v>
      </c>
      <c r="F7" s="4">
        <v>0.0</v>
      </c>
      <c r="G7" s="4">
        <v>0.0</v>
      </c>
      <c r="H7" s="4">
        <v>1.0</v>
      </c>
      <c r="I7" s="4">
        <v>1.0</v>
      </c>
      <c r="J7" s="4">
        <v>13.0</v>
      </c>
      <c r="K7" s="4">
        <v>7.0</v>
      </c>
      <c r="L7" s="4">
        <v>6.0</v>
      </c>
      <c r="M7" s="4">
        <v>10.0</v>
      </c>
      <c r="N7" s="4">
        <v>4.0</v>
      </c>
      <c r="O7" s="4">
        <v>2.0</v>
      </c>
      <c r="P7" s="4">
        <v>1.0</v>
      </c>
      <c r="Q7" s="4">
        <v>1.0</v>
      </c>
      <c r="R7" s="4">
        <v>7.0</v>
      </c>
      <c r="S7" s="4">
        <v>5.0</v>
      </c>
      <c r="T7" s="4">
        <v>6.0</v>
      </c>
      <c r="U7" s="4">
        <v>3.0</v>
      </c>
      <c r="V7" s="4">
        <v>3.0</v>
      </c>
      <c r="W7" s="4">
        <v>4.0</v>
      </c>
      <c r="X7" s="4">
        <v>5.0</v>
      </c>
      <c r="Y7" s="4">
        <v>2.0</v>
      </c>
      <c r="Z7" s="4">
        <v>7.0</v>
      </c>
      <c r="AA7" s="4">
        <v>0.0</v>
      </c>
      <c r="AB7" s="4">
        <v>0.0</v>
      </c>
      <c r="AC7" s="4">
        <v>2.0</v>
      </c>
      <c r="AD7" s="4">
        <v>3.0</v>
      </c>
      <c r="AE7" s="4">
        <v>5.0</v>
      </c>
      <c r="AF7" s="4">
        <v>1.0</v>
      </c>
      <c r="AG7" s="4">
        <v>0.0</v>
      </c>
      <c r="AH7" s="4">
        <v>0.0</v>
      </c>
      <c r="AI7" s="4">
        <v>0.0</v>
      </c>
      <c r="AJ7" s="4">
        <v>1.0</v>
      </c>
      <c r="AK7" s="4">
        <v>0.0</v>
      </c>
      <c r="AL7" s="4">
        <v>0.0</v>
      </c>
      <c r="AM7" s="4">
        <v>0.0</v>
      </c>
      <c r="AN7" s="4">
        <v>0.0</v>
      </c>
      <c r="AO7" s="4">
        <v>0.0</v>
      </c>
      <c r="AP7" s="4">
        <v>0.0</v>
      </c>
      <c r="AQ7" s="4">
        <v>0.0</v>
      </c>
      <c r="AR7" s="4">
        <v>0.0</v>
      </c>
      <c r="AS7" s="4">
        <v>0.0</v>
      </c>
      <c r="AT7" s="4">
        <v>0.0</v>
      </c>
      <c r="AU7" s="4">
        <v>0.0</v>
      </c>
      <c r="AV7" s="4">
        <v>0.0</v>
      </c>
      <c r="AW7" s="4">
        <v>0.0</v>
      </c>
      <c r="AX7" s="4">
        <v>0.0</v>
      </c>
      <c r="AY7" s="4">
        <v>0.0</v>
      </c>
      <c r="AZ7" s="4">
        <v>0.0</v>
      </c>
      <c r="BA7" s="4">
        <v>0.0</v>
      </c>
      <c r="BB7" s="4">
        <v>3.0</v>
      </c>
      <c r="BC7" s="4"/>
    </row>
    <row r="8">
      <c r="A8" s="4" t="s">
        <v>1416</v>
      </c>
      <c r="B8" s="3">
        <f t="shared" si="2"/>
        <v>77</v>
      </c>
      <c r="C8" s="4">
        <v>2.0</v>
      </c>
      <c r="D8" s="4">
        <v>1.0</v>
      </c>
      <c r="E8" s="4">
        <v>2.0</v>
      </c>
      <c r="F8" s="4">
        <v>14.0</v>
      </c>
      <c r="G8" s="4">
        <v>2.0</v>
      </c>
      <c r="H8" s="4">
        <v>0.0</v>
      </c>
      <c r="I8" s="4">
        <v>1.0</v>
      </c>
      <c r="J8" s="4">
        <v>2.0</v>
      </c>
      <c r="K8" s="4">
        <v>2.0</v>
      </c>
      <c r="L8" s="4">
        <v>0.0</v>
      </c>
      <c r="M8" s="4">
        <v>4.0</v>
      </c>
      <c r="N8" s="4">
        <v>3.0</v>
      </c>
      <c r="O8" s="4">
        <v>0.0</v>
      </c>
      <c r="P8" s="4">
        <v>1.0</v>
      </c>
      <c r="Q8" s="4">
        <v>3.0</v>
      </c>
      <c r="R8" s="4">
        <v>2.0</v>
      </c>
      <c r="S8" s="4">
        <v>3.0</v>
      </c>
      <c r="T8" s="4">
        <v>0.0</v>
      </c>
      <c r="U8" s="4">
        <v>0.0</v>
      </c>
      <c r="V8" s="4">
        <v>0.0</v>
      </c>
      <c r="W8" s="4">
        <v>2.0</v>
      </c>
      <c r="X8" s="4">
        <v>2.0</v>
      </c>
      <c r="Y8" s="4">
        <v>3.0</v>
      </c>
      <c r="Z8" s="4">
        <v>0.0</v>
      </c>
      <c r="AA8" s="4">
        <v>0.0</v>
      </c>
      <c r="AB8" s="4">
        <v>2.0</v>
      </c>
      <c r="AC8" s="4">
        <v>0.0</v>
      </c>
      <c r="AD8" s="4">
        <v>2.0</v>
      </c>
      <c r="AE8" s="4">
        <v>1.0</v>
      </c>
      <c r="AF8" s="4">
        <v>1.0</v>
      </c>
      <c r="AG8" s="4">
        <v>1.0</v>
      </c>
      <c r="AH8" s="4">
        <v>0.0</v>
      </c>
      <c r="AI8" s="4">
        <v>0.0</v>
      </c>
      <c r="AJ8" s="4">
        <v>0.0</v>
      </c>
      <c r="AK8" s="4">
        <v>0.0</v>
      </c>
      <c r="AL8" s="4">
        <v>0.0</v>
      </c>
      <c r="AM8" s="4">
        <v>2.0</v>
      </c>
      <c r="AN8" s="4">
        <v>0.0</v>
      </c>
      <c r="AO8" s="4">
        <v>1.0</v>
      </c>
      <c r="AP8" s="4">
        <v>1.0</v>
      </c>
      <c r="AQ8" s="4">
        <v>1.0</v>
      </c>
      <c r="AR8" s="4">
        <v>1.0</v>
      </c>
      <c r="AS8" s="4">
        <v>1.0</v>
      </c>
      <c r="AT8" s="4">
        <v>1.0</v>
      </c>
      <c r="AU8" s="4">
        <v>0.0</v>
      </c>
      <c r="AV8" s="4">
        <v>2.0</v>
      </c>
      <c r="AW8" s="4">
        <v>3.0</v>
      </c>
      <c r="AX8" s="4">
        <v>2.0</v>
      </c>
      <c r="AY8" s="4">
        <v>2.0</v>
      </c>
      <c r="AZ8" s="4">
        <v>3.0</v>
      </c>
      <c r="BA8" s="4">
        <v>0.0</v>
      </c>
      <c r="BB8" s="4">
        <v>1.0</v>
      </c>
      <c r="BC8" s="4"/>
    </row>
    <row r="9">
      <c r="A9" s="4" t="s">
        <v>35</v>
      </c>
      <c r="B9" s="3">
        <f t="shared" si="2"/>
        <v>77</v>
      </c>
      <c r="C9" s="4">
        <v>1.0</v>
      </c>
      <c r="D9" s="4">
        <v>2.0</v>
      </c>
      <c r="E9" s="4">
        <v>3.0</v>
      </c>
      <c r="F9" s="4">
        <v>4.0</v>
      </c>
      <c r="G9" s="4">
        <v>5.0</v>
      </c>
      <c r="H9" s="4">
        <v>1.0</v>
      </c>
      <c r="I9" s="4">
        <v>0.0</v>
      </c>
      <c r="J9" s="4">
        <v>1.0</v>
      </c>
      <c r="K9" s="4">
        <v>2.0</v>
      </c>
      <c r="L9" s="4">
        <v>0.0</v>
      </c>
      <c r="M9" s="4">
        <v>4.0</v>
      </c>
      <c r="N9" s="4">
        <v>1.0</v>
      </c>
      <c r="O9" s="4">
        <v>1.0</v>
      </c>
      <c r="P9" s="4">
        <v>0.0</v>
      </c>
      <c r="Q9" s="4">
        <v>2.0</v>
      </c>
      <c r="R9" s="4">
        <v>1.0</v>
      </c>
      <c r="S9" s="4">
        <v>0.0</v>
      </c>
      <c r="T9" s="4">
        <v>2.0</v>
      </c>
      <c r="U9" s="4">
        <v>2.0</v>
      </c>
      <c r="V9" s="4">
        <v>2.0</v>
      </c>
      <c r="W9" s="4">
        <v>2.0</v>
      </c>
      <c r="X9" s="4">
        <v>0.0</v>
      </c>
      <c r="Y9" s="4">
        <v>0.0</v>
      </c>
      <c r="Z9" s="4">
        <v>3.0</v>
      </c>
      <c r="AA9" s="4">
        <v>1.0</v>
      </c>
      <c r="AB9" s="4">
        <v>1.0</v>
      </c>
      <c r="AC9" s="4">
        <v>1.0</v>
      </c>
      <c r="AD9" s="4">
        <v>3.0</v>
      </c>
      <c r="AE9" s="4">
        <v>6.0</v>
      </c>
      <c r="AF9" s="4">
        <v>0.0</v>
      </c>
      <c r="AG9" s="4">
        <v>1.0</v>
      </c>
      <c r="AH9" s="4">
        <v>1.0</v>
      </c>
      <c r="AI9" s="4">
        <v>1.0</v>
      </c>
      <c r="AJ9" s="4">
        <v>2.0</v>
      </c>
      <c r="AK9" s="4">
        <v>1.0</v>
      </c>
      <c r="AL9" s="4">
        <v>1.0</v>
      </c>
      <c r="AM9" s="4">
        <v>3.0</v>
      </c>
      <c r="AN9" s="4">
        <v>3.0</v>
      </c>
      <c r="AO9" s="4">
        <v>3.0</v>
      </c>
      <c r="AP9" s="4">
        <v>2.0</v>
      </c>
      <c r="AQ9" s="4">
        <v>3.0</v>
      </c>
      <c r="AR9" s="4">
        <v>5.0</v>
      </c>
      <c r="AS9" s="4">
        <v>0.0</v>
      </c>
      <c r="AT9" s="4">
        <v>0.0</v>
      </c>
      <c r="AU9" s="4">
        <v>0.0</v>
      </c>
      <c r="AV9" s="4">
        <v>0.0</v>
      </c>
      <c r="AW9" s="4">
        <v>0.0</v>
      </c>
      <c r="AX9" s="4">
        <v>0.0</v>
      </c>
      <c r="AY9" s="4">
        <v>0.0</v>
      </c>
      <c r="AZ9" s="4">
        <v>0.0</v>
      </c>
      <c r="BA9" s="4">
        <v>0.0</v>
      </c>
      <c r="BB9" s="4">
        <v>0.0</v>
      </c>
    </row>
    <row r="10">
      <c r="A10" s="4" t="s">
        <v>31</v>
      </c>
      <c r="B10" s="3">
        <f t="shared" si="2"/>
        <v>72</v>
      </c>
      <c r="C10" s="4">
        <v>2.0</v>
      </c>
      <c r="D10" s="4">
        <v>18.0</v>
      </c>
      <c r="E10" s="4">
        <v>9.0</v>
      </c>
      <c r="F10" s="4">
        <v>7.0</v>
      </c>
      <c r="G10" s="4">
        <v>22.0</v>
      </c>
      <c r="H10" s="4">
        <v>3.0</v>
      </c>
      <c r="I10" s="4">
        <v>1.0</v>
      </c>
      <c r="J10" s="4">
        <v>3.0</v>
      </c>
      <c r="K10" s="4">
        <v>2.0</v>
      </c>
      <c r="L10" s="4">
        <v>2.0</v>
      </c>
      <c r="M10" s="4">
        <v>0.0</v>
      </c>
      <c r="N10" s="4">
        <v>0.0</v>
      </c>
      <c r="O10" s="4">
        <v>0.0</v>
      </c>
      <c r="P10" s="4">
        <v>0.0</v>
      </c>
      <c r="Q10" s="4">
        <v>1.0</v>
      </c>
      <c r="R10" s="4">
        <v>0.0</v>
      </c>
      <c r="S10" s="4">
        <v>0.0</v>
      </c>
      <c r="T10" s="4">
        <v>0.0</v>
      </c>
      <c r="U10" s="4">
        <v>2.0</v>
      </c>
      <c r="V10" s="4">
        <v>0.0</v>
      </c>
      <c r="W10" s="4">
        <v>0.0</v>
      </c>
      <c r="X10" s="4">
        <v>0.0</v>
      </c>
      <c r="Y10" s="4">
        <v>0.0</v>
      </c>
      <c r="Z10" s="4">
        <v>0.0</v>
      </c>
      <c r="AA10" s="4">
        <v>0.0</v>
      </c>
      <c r="AB10" s="4">
        <v>0.0</v>
      </c>
      <c r="AC10" s="4">
        <v>0.0</v>
      </c>
      <c r="AD10" s="4">
        <v>0.0</v>
      </c>
      <c r="AE10" s="4">
        <v>0.0</v>
      </c>
      <c r="AF10" s="4">
        <v>0.0</v>
      </c>
      <c r="AG10" s="4">
        <v>0.0</v>
      </c>
      <c r="AH10" s="4">
        <v>0.0</v>
      </c>
      <c r="AI10" s="4">
        <v>0.0</v>
      </c>
      <c r="AJ10" s="4">
        <v>0.0</v>
      </c>
      <c r="AK10" s="4">
        <v>0.0</v>
      </c>
      <c r="AL10" s="4">
        <v>0.0</v>
      </c>
      <c r="AM10" s="4">
        <v>0.0</v>
      </c>
      <c r="AN10" s="4">
        <v>0.0</v>
      </c>
      <c r="AO10" s="4">
        <v>0.0</v>
      </c>
      <c r="AP10" s="4">
        <v>0.0</v>
      </c>
      <c r="AQ10" s="4">
        <v>0.0</v>
      </c>
      <c r="AR10" s="4">
        <v>0.0</v>
      </c>
      <c r="AS10" s="4">
        <v>0.0</v>
      </c>
      <c r="AT10" s="4">
        <v>0.0</v>
      </c>
      <c r="AU10" s="4">
        <v>0.0</v>
      </c>
      <c r="AV10" s="4">
        <v>0.0</v>
      </c>
      <c r="AW10" s="4">
        <v>0.0</v>
      </c>
      <c r="AX10" s="4">
        <v>0.0</v>
      </c>
      <c r="AY10" s="4">
        <v>0.0</v>
      </c>
      <c r="AZ10" s="4">
        <v>0.0</v>
      </c>
      <c r="BA10" s="4">
        <v>0.0</v>
      </c>
      <c r="BB10" s="4">
        <v>0.0</v>
      </c>
    </row>
    <row r="11">
      <c r="A11" s="4" t="s">
        <v>1347</v>
      </c>
      <c r="B11" s="3">
        <f t="shared" si="2"/>
        <v>69</v>
      </c>
      <c r="C11" s="4">
        <v>1.0</v>
      </c>
      <c r="D11" s="4">
        <v>1.0</v>
      </c>
      <c r="E11" s="4">
        <v>0.0</v>
      </c>
      <c r="F11" s="4">
        <v>1.0</v>
      </c>
      <c r="G11" s="4">
        <v>4.0</v>
      </c>
      <c r="H11" s="4">
        <v>0.0</v>
      </c>
      <c r="I11" s="4">
        <v>0.0</v>
      </c>
      <c r="J11" s="4">
        <v>2.0</v>
      </c>
      <c r="K11" s="4">
        <v>1.0</v>
      </c>
      <c r="L11" s="4">
        <v>0.0</v>
      </c>
      <c r="M11" s="4">
        <v>4.0</v>
      </c>
      <c r="N11" s="4">
        <v>2.0</v>
      </c>
      <c r="O11" s="4">
        <v>1.0</v>
      </c>
      <c r="P11" s="4">
        <v>3.0</v>
      </c>
      <c r="Q11" s="4">
        <v>0.0</v>
      </c>
      <c r="R11" s="4">
        <v>1.0</v>
      </c>
      <c r="S11" s="4">
        <v>1.0</v>
      </c>
      <c r="T11" s="4">
        <v>1.0</v>
      </c>
      <c r="U11" s="4">
        <v>2.0</v>
      </c>
      <c r="V11" s="4">
        <v>1.0</v>
      </c>
      <c r="W11" s="4">
        <v>0.0</v>
      </c>
      <c r="X11" s="4">
        <v>4.0</v>
      </c>
      <c r="Y11" s="4">
        <v>3.0</v>
      </c>
      <c r="Z11" s="4">
        <v>3.0</v>
      </c>
      <c r="AA11" s="4">
        <v>2.0</v>
      </c>
      <c r="AB11" s="4">
        <v>1.0</v>
      </c>
      <c r="AC11" s="4">
        <v>0.0</v>
      </c>
      <c r="AD11" s="4">
        <v>0.0</v>
      </c>
      <c r="AE11" s="4">
        <v>2.0</v>
      </c>
      <c r="AF11" s="4">
        <v>2.0</v>
      </c>
      <c r="AG11" s="4">
        <v>2.0</v>
      </c>
      <c r="AH11" s="4">
        <v>0.0</v>
      </c>
      <c r="AI11" s="4">
        <v>0.0</v>
      </c>
      <c r="AJ11" s="4">
        <v>1.0</v>
      </c>
      <c r="AK11" s="4">
        <v>0.0</v>
      </c>
      <c r="AL11" s="4">
        <v>0.0</v>
      </c>
      <c r="AM11" s="4">
        <v>1.0</v>
      </c>
      <c r="AN11" s="4">
        <v>1.0</v>
      </c>
      <c r="AO11" s="4">
        <v>1.0</v>
      </c>
      <c r="AP11" s="4">
        <v>1.0</v>
      </c>
      <c r="AQ11" s="4">
        <v>2.0</v>
      </c>
      <c r="AR11" s="4">
        <v>2.0</v>
      </c>
      <c r="AS11" s="4">
        <v>1.0</v>
      </c>
      <c r="AT11" s="4">
        <v>0.0</v>
      </c>
      <c r="AU11" s="4">
        <v>3.0</v>
      </c>
      <c r="AV11" s="4">
        <v>1.0</v>
      </c>
      <c r="AW11" s="4">
        <v>0.0</v>
      </c>
      <c r="AX11" s="4">
        <v>0.0</v>
      </c>
      <c r="AY11" s="4">
        <v>5.0</v>
      </c>
      <c r="AZ11" s="4">
        <v>1.0</v>
      </c>
      <c r="BA11" s="4">
        <v>2.0</v>
      </c>
      <c r="BB11" s="4">
        <v>2.0</v>
      </c>
      <c r="BC11" s="4"/>
    </row>
    <row r="12">
      <c r="A12" s="4" t="s">
        <v>24</v>
      </c>
      <c r="B12" s="3">
        <f t="shared" si="2"/>
        <v>52</v>
      </c>
      <c r="C12" s="4">
        <v>5.0</v>
      </c>
      <c r="D12" s="4">
        <v>18.0</v>
      </c>
      <c r="E12" s="4">
        <v>10.0</v>
      </c>
      <c r="F12" s="4">
        <v>5.0</v>
      </c>
      <c r="G12" s="4">
        <v>3.0</v>
      </c>
      <c r="H12" s="4">
        <v>3.0</v>
      </c>
      <c r="I12" s="4">
        <v>1.0</v>
      </c>
      <c r="J12" s="4">
        <v>0.0</v>
      </c>
      <c r="K12" s="4">
        <v>1.0</v>
      </c>
      <c r="L12" s="4">
        <v>0.0</v>
      </c>
      <c r="M12" s="4">
        <v>1.0</v>
      </c>
      <c r="N12" s="4">
        <v>0.0</v>
      </c>
      <c r="O12" s="4">
        <v>0.0</v>
      </c>
      <c r="P12" s="4">
        <v>0.0</v>
      </c>
      <c r="Q12" s="4">
        <v>1.0</v>
      </c>
      <c r="R12" s="4">
        <v>0.0</v>
      </c>
      <c r="S12" s="4">
        <v>0.0</v>
      </c>
      <c r="T12" s="4">
        <v>0.0</v>
      </c>
      <c r="U12" s="4">
        <v>0.0</v>
      </c>
      <c r="V12" s="4">
        <v>0.0</v>
      </c>
      <c r="W12" s="4">
        <v>0.0</v>
      </c>
      <c r="X12" s="4">
        <v>0.0</v>
      </c>
      <c r="Y12" s="4">
        <v>0.0</v>
      </c>
      <c r="Z12" s="4">
        <v>0.0</v>
      </c>
      <c r="AA12" s="4">
        <v>0.0</v>
      </c>
      <c r="AB12" s="4">
        <v>1.0</v>
      </c>
      <c r="AC12" s="4">
        <v>0.0</v>
      </c>
      <c r="AD12" s="4">
        <v>0.0</v>
      </c>
      <c r="AE12" s="4">
        <v>0.0</v>
      </c>
      <c r="AF12" s="4">
        <v>0.0</v>
      </c>
      <c r="AG12" s="4">
        <v>0.0</v>
      </c>
      <c r="AH12" s="4">
        <v>0.0</v>
      </c>
      <c r="AI12" s="4">
        <v>0.0</v>
      </c>
      <c r="AJ12" s="4">
        <v>0.0</v>
      </c>
      <c r="AK12" s="4">
        <v>0.0</v>
      </c>
      <c r="AL12" s="4">
        <v>0.0</v>
      </c>
      <c r="AM12" s="4">
        <v>0.0</v>
      </c>
      <c r="AN12" s="4">
        <v>0.0</v>
      </c>
      <c r="AO12" s="4">
        <v>3.0</v>
      </c>
      <c r="AP12" s="4">
        <v>0.0</v>
      </c>
      <c r="AQ12" s="4">
        <v>0.0</v>
      </c>
      <c r="AR12" s="4">
        <v>0.0</v>
      </c>
      <c r="AS12" s="4">
        <v>0.0</v>
      </c>
      <c r="AT12" s="4">
        <v>0.0</v>
      </c>
      <c r="AU12" s="4">
        <v>0.0</v>
      </c>
      <c r="AV12" s="4">
        <v>0.0</v>
      </c>
      <c r="AW12" s="4">
        <v>0.0</v>
      </c>
      <c r="AX12" s="4">
        <v>0.0</v>
      </c>
      <c r="AY12" s="4">
        <v>0.0</v>
      </c>
      <c r="AZ12" s="4">
        <v>0.0</v>
      </c>
      <c r="BA12" s="4">
        <v>0.0</v>
      </c>
      <c r="BB12" s="4">
        <v>0.0</v>
      </c>
    </row>
    <row r="13">
      <c r="A13" s="4" t="s">
        <v>34</v>
      </c>
      <c r="B13" s="3">
        <f t="shared" si="2"/>
        <v>50</v>
      </c>
      <c r="C13" s="4">
        <v>1.0</v>
      </c>
      <c r="D13" s="4">
        <v>1.0</v>
      </c>
      <c r="E13" s="4">
        <v>0.0</v>
      </c>
      <c r="F13" s="4">
        <v>2.0</v>
      </c>
      <c r="G13" s="4">
        <v>6.0</v>
      </c>
      <c r="H13" s="4">
        <v>1.0</v>
      </c>
      <c r="I13" s="4">
        <v>1.0</v>
      </c>
      <c r="J13" s="4">
        <v>1.0</v>
      </c>
      <c r="K13" s="4">
        <v>0.0</v>
      </c>
      <c r="L13" s="4">
        <v>1.0</v>
      </c>
      <c r="M13" s="4">
        <v>1.0</v>
      </c>
      <c r="N13" s="4">
        <v>0.0</v>
      </c>
      <c r="O13" s="4">
        <v>0.0</v>
      </c>
      <c r="P13" s="4">
        <v>0.0</v>
      </c>
      <c r="Q13" s="4">
        <v>0.0</v>
      </c>
      <c r="R13" s="4">
        <v>1.0</v>
      </c>
      <c r="S13" s="4">
        <v>1.0</v>
      </c>
      <c r="T13" s="4">
        <v>2.0</v>
      </c>
      <c r="U13" s="4">
        <v>0.0</v>
      </c>
      <c r="V13" s="4">
        <v>1.0</v>
      </c>
      <c r="W13" s="4">
        <v>0.0</v>
      </c>
      <c r="X13" s="4">
        <v>1.0</v>
      </c>
      <c r="Y13" s="4">
        <v>2.0</v>
      </c>
      <c r="Z13" s="4">
        <v>1.0</v>
      </c>
      <c r="AA13" s="4">
        <v>1.0</v>
      </c>
      <c r="AB13" s="4">
        <v>0.0</v>
      </c>
      <c r="AC13" s="4">
        <v>2.0</v>
      </c>
      <c r="AD13" s="4">
        <v>0.0</v>
      </c>
      <c r="AE13" s="4">
        <v>1.0</v>
      </c>
      <c r="AF13" s="4">
        <v>0.0</v>
      </c>
      <c r="AG13" s="4">
        <v>2.0</v>
      </c>
      <c r="AH13" s="4">
        <v>1.0</v>
      </c>
      <c r="AI13" s="4">
        <v>0.0</v>
      </c>
      <c r="AJ13" s="4">
        <v>1.0</v>
      </c>
      <c r="AK13" s="4">
        <v>1.0</v>
      </c>
      <c r="AL13" s="4">
        <v>0.0</v>
      </c>
      <c r="AM13" s="4">
        <v>2.0</v>
      </c>
      <c r="AN13" s="4">
        <v>1.0</v>
      </c>
      <c r="AO13" s="4">
        <v>0.0</v>
      </c>
      <c r="AP13" s="4">
        <v>1.0</v>
      </c>
      <c r="AQ13" s="4">
        <v>0.0</v>
      </c>
      <c r="AR13" s="4">
        <v>1.0</v>
      </c>
      <c r="AS13" s="4">
        <v>1.0</v>
      </c>
      <c r="AT13" s="4">
        <v>2.0</v>
      </c>
      <c r="AU13" s="4">
        <v>1.0</v>
      </c>
      <c r="AV13" s="4">
        <v>0.0</v>
      </c>
      <c r="AW13" s="4">
        <v>2.0</v>
      </c>
      <c r="AX13" s="4">
        <v>0.0</v>
      </c>
      <c r="AY13" s="4">
        <v>1.0</v>
      </c>
      <c r="AZ13" s="4">
        <v>1.0</v>
      </c>
      <c r="BA13" s="4">
        <v>2.0</v>
      </c>
      <c r="BB13" s="4">
        <v>2.0</v>
      </c>
      <c r="BC13" s="4"/>
    </row>
    <row r="14">
      <c r="A14" s="4" t="s">
        <v>44</v>
      </c>
      <c r="B14" s="3">
        <f t="shared" si="2"/>
        <v>33</v>
      </c>
      <c r="C14" s="4">
        <v>0.0</v>
      </c>
      <c r="D14" s="4">
        <v>0.0</v>
      </c>
      <c r="E14" s="4">
        <v>0.0</v>
      </c>
      <c r="F14" s="4">
        <v>0.0</v>
      </c>
      <c r="G14" s="4">
        <v>0.0</v>
      </c>
      <c r="H14" s="4">
        <v>0.0</v>
      </c>
      <c r="I14" s="4">
        <v>0.0</v>
      </c>
      <c r="J14" s="4">
        <v>1.0</v>
      </c>
      <c r="K14" s="4">
        <v>0.0</v>
      </c>
      <c r="L14" s="4">
        <v>2.0</v>
      </c>
      <c r="M14" s="4">
        <v>2.0</v>
      </c>
      <c r="N14" s="4">
        <v>0.0</v>
      </c>
      <c r="O14" s="4">
        <v>0.0</v>
      </c>
      <c r="P14" s="4">
        <v>0.0</v>
      </c>
      <c r="Q14" s="4">
        <v>0.0</v>
      </c>
      <c r="R14" s="4">
        <v>0.0</v>
      </c>
      <c r="S14" s="4">
        <v>3.0</v>
      </c>
      <c r="T14" s="4">
        <v>0.0</v>
      </c>
      <c r="U14" s="4">
        <v>0.0</v>
      </c>
      <c r="V14" s="4">
        <v>1.0</v>
      </c>
      <c r="W14" s="4">
        <v>7.0</v>
      </c>
      <c r="X14" s="4">
        <v>7.0</v>
      </c>
      <c r="Y14" s="4">
        <v>3.0</v>
      </c>
      <c r="Z14" s="4">
        <v>0.0</v>
      </c>
      <c r="AA14" s="4">
        <v>0.0</v>
      </c>
      <c r="AB14" s="4">
        <v>0.0</v>
      </c>
      <c r="AC14" s="4">
        <v>0.0</v>
      </c>
      <c r="AD14" s="4">
        <v>1.0</v>
      </c>
      <c r="AE14" s="4">
        <v>0.0</v>
      </c>
      <c r="AF14" s="4">
        <v>0.0</v>
      </c>
      <c r="AG14" s="4">
        <v>0.0</v>
      </c>
      <c r="AH14" s="4">
        <v>1.0</v>
      </c>
      <c r="AI14" s="4">
        <v>0.0</v>
      </c>
      <c r="AJ14" s="4">
        <v>0.0</v>
      </c>
      <c r="AK14" s="4">
        <v>0.0</v>
      </c>
      <c r="AL14" s="4">
        <v>0.0</v>
      </c>
      <c r="AM14" s="4">
        <v>0.0</v>
      </c>
      <c r="AN14" s="4">
        <v>2.0</v>
      </c>
      <c r="AO14" s="4">
        <v>0.0</v>
      </c>
      <c r="AP14" s="4">
        <v>1.0</v>
      </c>
      <c r="AQ14" s="4">
        <v>0.0</v>
      </c>
      <c r="AR14" s="4">
        <v>0.0</v>
      </c>
      <c r="AS14" s="4">
        <v>0.0</v>
      </c>
      <c r="AT14" s="4">
        <v>0.0</v>
      </c>
      <c r="AU14" s="4">
        <v>1.0</v>
      </c>
      <c r="AV14" s="4">
        <v>0.0</v>
      </c>
      <c r="AW14" s="4">
        <v>0.0</v>
      </c>
      <c r="AX14" s="4">
        <v>0.0</v>
      </c>
      <c r="AY14" s="4">
        <v>1.0</v>
      </c>
      <c r="AZ14" s="4">
        <v>0.0</v>
      </c>
      <c r="BA14" s="4">
        <v>0.0</v>
      </c>
      <c r="BB14" s="4">
        <v>0.0</v>
      </c>
    </row>
    <row r="15">
      <c r="A15" s="4" t="s">
        <v>36</v>
      </c>
      <c r="B15" s="3">
        <f t="shared" si="2"/>
        <v>32</v>
      </c>
      <c r="C15" s="4">
        <v>0.0</v>
      </c>
      <c r="D15" s="4">
        <v>0.0</v>
      </c>
      <c r="E15" s="4">
        <v>0.0</v>
      </c>
      <c r="F15" s="4">
        <v>0.0</v>
      </c>
      <c r="G15" s="4">
        <v>2.0</v>
      </c>
      <c r="H15" s="4">
        <v>0.0</v>
      </c>
      <c r="I15" s="4">
        <v>0.0</v>
      </c>
      <c r="J15" s="4">
        <v>1.0</v>
      </c>
      <c r="K15" s="4">
        <v>0.0</v>
      </c>
      <c r="L15" s="4">
        <v>1.0</v>
      </c>
      <c r="M15" s="4">
        <v>1.0</v>
      </c>
      <c r="N15" s="4">
        <v>0.0</v>
      </c>
      <c r="O15" s="4">
        <v>0.0</v>
      </c>
      <c r="P15" s="4">
        <v>0.0</v>
      </c>
      <c r="Q15" s="4">
        <v>0.0</v>
      </c>
      <c r="R15" s="4">
        <v>0.0</v>
      </c>
      <c r="S15" s="4">
        <v>2.0</v>
      </c>
      <c r="T15" s="4">
        <v>2.0</v>
      </c>
      <c r="U15" s="4">
        <v>0.0</v>
      </c>
      <c r="V15" s="4">
        <v>2.0</v>
      </c>
      <c r="W15" s="4">
        <v>1.0</v>
      </c>
      <c r="X15" s="4">
        <v>0.0</v>
      </c>
      <c r="Y15" s="4">
        <v>0.0</v>
      </c>
      <c r="Z15" s="4">
        <v>0.0</v>
      </c>
      <c r="AA15" s="4">
        <v>1.0</v>
      </c>
      <c r="AB15" s="4">
        <v>0.0</v>
      </c>
      <c r="AC15" s="4">
        <v>0.0</v>
      </c>
      <c r="AD15" s="4">
        <v>0.0</v>
      </c>
      <c r="AE15" s="4">
        <v>0.0</v>
      </c>
      <c r="AF15" s="4">
        <v>1.0</v>
      </c>
      <c r="AG15" s="4">
        <v>1.0</v>
      </c>
      <c r="AH15" s="4">
        <v>1.0</v>
      </c>
      <c r="AI15" s="4">
        <v>1.0</v>
      </c>
      <c r="AJ15" s="4">
        <v>0.0</v>
      </c>
      <c r="AK15" s="4">
        <v>0.0</v>
      </c>
      <c r="AL15" s="4">
        <v>0.0</v>
      </c>
      <c r="AM15" s="4">
        <v>1.0</v>
      </c>
      <c r="AN15" s="4">
        <v>0.0</v>
      </c>
      <c r="AO15" s="4">
        <v>0.0</v>
      </c>
      <c r="AP15" s="4">
        <v>0.0</v>
      </c>
      <c r="AQ15" s="4">
        <v>0.0</v>
      </c>
      <c r="AR15" s="4">
        <v>0.0</v>
      </c>
      <c r="AS15" s="4">
        <v>10.0</v>
      </c>
      <c r="AT15" s="4">
        <v>0.0</v>
      </c>
      <c r="AU15" s="4">
        <v>0.0</v>
      </c>
      <c r="AV15" s="4">
        <v>1.0</v>
      </c>
      <c r="AW15" s="4">
        <v>0.0</v>
      </c>
      <c r="AX15" s="4">
        <v>1.0</v>
      </c>
      <c r="AY15" s="4">
        <v>2.0</v>
      </c>
      <c r="AZ15" s="4">
        <v>0.0</v>
      </c>
      <c r="BA15" s="4">
        <v>0.0</v>
      </c>
      <c r="BB15" s="4">
        <v>0.0</v>
      </c>
    </row>
    <row r="16">
      <c r="A16" s="4" t="s">
        <v>47</v>
      </c>
      <c r="B16" s="3">
        <f t="shared" si="2"/>
        <v>28</v>
      </c>
      <c r="C16" s="4">
        <v>0.0</v>
      </c>
      <c r="D16" s="4">
        <v>0.0</v>
      </c>
      <c r="E16" s="4">
        <v>0.0</v>
      </c>
      <c r="F16" s="4">
        <v>0.0</v>
      </c>
      <c r="G16" s="4">
        <v>7.0</v>
      </c>
      <c r="H16" s="4">
        <v>0.0</v>
      </c>
      <c r="I16" s="4">
        <v>2.0</v>
      </c>
      <c r="J16" s="4">
        <v>2.0</v>
      </c>
      <c r="K16" s="4">
        <v>0.0</v>
      </c>
      <c r="L16" s="4">
        <v>1.0</v>
      </c>
      <c r="M16" s="4">
        <v>0.0</v>
      </c>
      <c r="N16" s="4">
        <v>0.0</v>
      </c>
      <c r="O16" s="4">
        <v>3.0</v>
      </c>
      <c r="P16" s="4">
        <v>4.0</v>
      </c>
      <c r="Q16" s="4">
        <v>4.0</v>
      </c>
      <c r="R16" s="4">
        <v>0.0</v>
      </c>
      <c r="S16" s="4">
        <v>2.0</v>
      </c>
      <c r="T16" s="4">
        <v>2.0</v>
      </c>
      <c r="U16" s="4">
        <v>0.0</v>
      </c>
      <c r="V16" s="4">
        <v>0.0</v>
      </c>
      <c r="W16" s="4">
        <v>0.0</v>
      </c>
      <c r="X16" s="4">
        <v>0.0</v>
      </c>
      <c r="Y16" s="4">
        <v>0.0</v>
      </c>
      <c r="Z16" s="4">
        <v>0.0</v>
      </c>
      <c r="AA16" s="4">
        <v>0.0</v>
      </c>
      <c r="AB16" s="4">
        <v>1.0</v>
      </c>
      <c r="AC16" s="4">
        <v>0.0</v>
      </c>
      <c r="AD16" s="4">
        <v>0.0</v>
      </c>
      <c r="AE16" s="4">
        <v>0.0</v>
      </c>
      <c r="AF16" s="4">
        <v>0.0</v>
      </c>
      <c r="AG16" s="4">
        <v>0.0</v>
      </c>
      <c r="AH16" s="4">
        <v>0.0</v>
      </c>
      <c r="AI16" s="4">
        <v>0.0</v>
      </c>
      <c r="AJ16" s="4">
        <v>0.0</v>
      </c>
      <c r="AK16" s="4">
        <v>0.0</v>
      </c>
      <c r="AL16" s="4">
        <v>0.0</v>
      </c>
      <c r="AM16" s="4">
        <v>0.0</v>
      </c>
      <c r="AN16" s="4">
        <v>0.0</v>
      </c>
      <c r="AO16" s="4">
        <v>0.0</v>
      </c>
      <c r="AP16" s="4">
        <v>0.0</v>
      </c>
      <c r="AQ16" s="4">
        <v>0.0</v>
      </c>
      <c r="AR16" s="4">
        <v>0.0</v>
      </c>
      <c r="AS16" s="4">
        <v>0.0</v>
      </c>
      <c r="AT16" s="4">
        <v>0.0</v>
      </c>
      <c r="AU16" s="4">
        <v>0.0</v>
      </c>
      <c r="AV16" s="4">
        <v>0.0</v>
      </c>
      <c r="AW16" s="4">
        <v>0.0</v>
      </c>
      <c r="AX16" s="4">
        <v>0.0</v>
      </c>
      <c r="AY16" s="4">
        <v>0.0</v>
      </c>
      <c r="AZ16" s="4">
        <v>0.0</v>
      </c>
      <c r="BA16" s="4">
        <v>0.0</v>
      </c>
      <c r="BB16" s="4">
        <v>0.0</v>
      </c>
    </row>
    <row r="17">
      <c r="A17" s="4" t="s">
        <v>1262</v>
      </c>
      <c r="B17" s="3">
        <f t="shared" si="2"/>
        <v>17</v>
      </c>
      <c r="C17" s="4">
        <v>0.0</v>
      </c>
      <c r="D17" s="4">
        <v>1.0</v>
      </c>
      <c r="E17" s="4">
        <v>4.0</v>
      </c>
      <c r="F17" s="4">
        <v>1.0</v>
      </c>
      <c r="G17" s="4">
        <v>1.0</v>
      </c>
      <c r="H17" s="4">
        <v>2.0</v>
      </c>
      <c r="I17" s="4">
        <v>1.0</v>
      </c>
      <c r="J17" s="4">
        <v>1.0</v>
      </c>
      <c r="K17" s="4">
        <v>0.0</v>
      </c>
      <c r="L17" s="4">
        <v>1.0</v>
      </c>
      <c r="M17" s="4">
        <v>0.0</v>
      </c>
      <c r="N17" s="4">
        <v>0.0</v>
      </c>
      <c r="O17" s="4">
        <v>0.0</v>
      </c>
      <c r="P17" s="4">
        <v>0.0</v>
      </c>
      <c r="Q17" s="4">
        <v>2.0</v>
      </c>
      <c r="R17" s="4">
        <v>1.0</v>
      </c>
      <c r="S17" s="4">
        <v>0.0</v>
      </c>
      <c r="T17" s="4">
        <v>1.0</v>
      </c>
      <c r="U17" s="4">
        <v>1.0</v>
      </c>
      <c r="V17" s="4">
        <v>0.0</v>
      </c>
      <c r="W17" s="4">
        <v>0.0</v>
      </c>
      <c r="X17" s="4">
        <v>0.0</v>
      </c>
      <c r="Y17" s="4">
        <v>0.0</v>
      </c>
      <c r="Z17" s="4">
        <v>0.0</v>
      </c>
      <c r="AA17" s="4">
        <v>0.0</v>
      </c>
      <c r="AB17" s="4">
        <v>0.0</v>
      </c>
      <c r="AC17" s="4">
        <v>0.0</v>
      </c>
      <c r="AD17" s="4">
        <v>0.0</v>
      </c>
      <c r="AE17" s="4">
        <v>0.0</v>
      </c>
      <c r="AF17" s="4">
        <v>0.0</v>
      </c>
      <c r="AG17" s="4">
        <v>0.0</v>
      </c>
      <c r="AH17" s="4">
        <v>0.0</v>
      </c>
      <c r="AI17" s="4">
        <v>0.0</v>
      </c>
      <c r="AJ17" s="4">
        <v>0.0</v>
      </c>
      <c r="AK17" s="4">
        <v>0.0</v>
      </c>
      <c r="AL17" s="4">
        <v>0.0</v>
      </c>
      <c r="AM17" s="4">
        <v>0.0</v>
      </c>
      <c r="AN17" s="4">
        <v>0.0</v>
      </c>
      <c r="AO17" s="4">
        <v>0.0</v>
      </c>
      <c r="AP17" s="4">
        <v>0.0</v>
      </c>
      <c r="AQ17" s="4">
        <v>0.0</v>
      </c>
      <c r="AR17" s="4">
        <v>0.0</v>
      </c>
      <c r="AS17" s="4">
        <v>0.0</v>
      </c>
      <c r="AT17" s="4">
        <v>0.0</v>
      </c>
      <c r="AU17" s="4">
        <v>0.0</v>
      </c>
      <c r="AV17" s="4">
        <v>0.0</v>
      </c>
      <c r="AW17" s="4">
        <v>0.0</v>
      </c>
      <c r="AX17" s="4">
        <v>0.0</v>
      </c>
      <c r="AY17" s="4">
        <v>0.0</v>
      </c>
      <c r="AZ17" s="4">
        <v>0.0</v>
      </c>
      <c r="BA17" s="4">
        <v>0.0</v>
      </c>
      <c r="BB17" s="4">
        <v>0.0</v>
      </c>
    </row>
    <row r="18">
      <c r="A18" s="4" t="s">
        <v>1339</v>
      </c>
      <c r="B18" s="3">
        <f t="shared" si="2"/>
        <v>16</v>
      </c>
      <c r="C18" s="4">
        <v>0.0</v>
      </c>
      <c r="D18" s="4">
        <v>0.0</v>
      </c>
      <c r="E18" s="4">
        <v>0.0</v>
      </c>
      <c r="F18" s="4">
        <v>0.0</v>
      </c>
      <c r="G18" s="4">
        <v>0.0</v>
      </c>
      <c r="H18" s="4">
        <v>0.0</v>
      </c>
      <c r="I18" s="4">
        <v>0.0</v>
      </c>
      <c r="J18" s="4">
        <v>0.0</v>
      </c>
      <c r="K18" s="4">
        <v>0.0</v>
      </c>
      <c r="L18" s="4">
        <v>0.0</v>
      </c>
      <c r="M18" s="4">
        <v>0.0</v>
      </c>
      <c r="N18" s="4">
        <v>0.0</v>
      </c>
      <c r="O18" s="4">
        <v>0.0</v>
      </c>
      <c r="P18" s="4">
        <v>0.0</v>
      </c>
      <c r="Q18" s="4">
        <v>0.0</v>
      </c>
      <c r="R18" s="4">
        <v>1.0</v>
      </c>
      <c r="S18" s="4">
        <v>1.0</v>
      </c>
      <c r="T18" s="4">
        <v>0.0</v>
      </c>
      <c r="U18" s="4">
        <v>0.0</v>
      </c>
      <c r="V18" s="4">
        <v>0.0</v>
      </c>
      <c r="W18" s="4">
        <v>0.0</v>
      </c>
      <c r="X18" s="4">
        <v>0.0</v>
      </c>
      <c r="Y18" s="4">
        <v>0.0</v>
      </c>
      <c r="Z18" s="4">
        <v>2.0</v>
      </c>
      <c r="AA18" s="4">
        <v>0.0</v>
      </c>
      <c r="AB18" s="4">
        <v>0.0</v>
      </c>
      <c r="AC18" s="4">
        <v>0.0</v>
      </c>
      <c r="AD18" s="4">
        <v>0.0</v>
      </c>
      <c r="AE18" s="4">
        <v>0.0</v>
      </c>
      <c r="AF18" s="4">
        <v>1.0</v>
      </c>
      <c r="AG18" s="4">
        <v>0.0</v>
      </c>
      <c r="AH18" s="4">
        <v>2.0</v>
      </c>
      <c r="AI18" s="4">
        <v>1.0</v>
      </c>
      <c r="AJ18" s="4">
        <v>3.0</v>
      </c>
      <c r="AK18" s="4">
        <v>0.0</v>
      </c>
      <c r="AL18" s="4">
        <v>0.0</v>
      </c>
      <c r="AM18" s="4">
        <v>1.0</v>
      </c>
      <c r="AN18" s="4">
        <v>0.0</v>
      </c>
      <c r="AO18" s="4">
        <v>1.0</v>
      </c>
      <c r="AP18" s="4">
        <v>0.0</v>
      </c>
      <c r="AQ18" s="4">
        <v>0.0</v>
      </c>
      <c r="AR18" s="4">
        <v>0.0</v>
      </c>
      <c r="AS18" s="4">
        <v>1.0</v>
      </c>
      <c r="AT18" s="4">
        <v>0.0</v>
      </c>
      <c r="AU18" s="4">
        <v>1.0</v>
      </c>
      <c r="AV18" s="4">
        <v>1.0</v>
      </c>
      <c r="AW18" s="4">
        <v>0.0</v>
      </c>
      <c r="AX18" s="4">
        <v>0.0</v>
      </c>
      <c r="AY18" s="4">
        <v>0.0</v>
      </c>
      <c r="AZ18" s="4">
        <v>0.0</v>
      </c>
      <c r="BA18" s="4">
        <v>0.0</v>
      </c>
      <c r="BB18" s="4">
        <v>0.0</v>
      </c>
    </row>
    <row r="19">
      <c r="A19" s="4" t="s">
        <v>42</v>
      </c>
      <c r="B19" s="3">
        <f t="shared" si="2"/>
        <v>15</v>
      </c>
      <c r="C19" s="4">
        <v>0.0</v>
      </c>
      <c r="D19" s="4">
        <v>0.0</v>
      </c>
      <c r="E19" s="4">
        <v>0.0</v>
      </c>
      <c r="F19" s="4">
        <v>0.0</v>
      </c>
      <c r="G19" s="4">
        <v>0.0</v>
      </c>
      <c r="H19" s="4">
        <v>0.0</v>
      </c>
      <c r="I19" s="4">
        <v>2.0</v>
      </c>
      <c r="J19" s="4">
        <v>0.0</v>
      </c>
      <c r="K19" s="4">
        <v>0.0</v>
      </c>
      <c r="L19" s="4">
        <v>0.0</v>
      </c>
      <c r="M19" s="4">
        <v>0.0</v>
      </c>
      <c r="N19" s="4">
        <v>0.0</v>
      </c>
      <c r="O19" s="4">
        <v>0.0</v>
      </c>
      <c r="P19" s="4">
        <v>0.0</v>
      </c>
      <c r="Q19" s="4">
        <v>0.0</v>
      </c>
      <c r="R19" s="4">
        <v>1.0</v>
      </c>
      <c r="S19" s="4">
        <v>0.0</v>
      </c>
      <c r="T19" s="4">
        <v>0.0</v>
      </c>
      <c r="U19" s="4">
        <v>0.0</v>
      </c>
      <c r="V19" s="4">
        <v>1.0</v>
      </c>
      <c r="W19" s="4">
        <v>0.0</v>
      </c>
      <c r="X19" s="4">
        <v>0.0</v>
      </c>
      <c r="Y19" s="4">
        <v>0.0</v>
      </c>
      <c r="Z19" s="4">
        <v>3.0</v>
      </c>
      <c r="AA19" s="4">
        <v>0.0</v>
      </c>
      <c r="AB19" s="4">
        <v>0.0</v>
      </c>
      <c r="AC19" s="4">
        <v>0.0</v>
      </c>
      <c r="AD19" s="4">
        <v>0.0</v>
      </c>
      <c r="AE19" s="4">
        <v>2.0</v>
      </c>
      <c r="AF19" s="4">
        <v>1.0</v>
      </c>
      <c r="AG19" s="4">
        <v>0.0</v>
      </c>
      <c r="AH19" s="4">
        <v>0.0</v>
      </c>
      <c r="AI19" s="4">
        <v>0.0</v>
      </c>
      <c r="AJ19" s="4">
        <v>1.0</v>
      </c>
      <c r="AK19" s="4">
        <v>2.0</v>
      </c>
      <c r="AL19" s="4">
        <v>1.0</v>
      </c>
      <c r="AM19" s="4">
        <v>0.0</v>
      </c>
      <c r="AN19" s="4">
        <v>0.0</v>
      </c>
      <c r="AO19" s="4">
        <v>0.0</v>
      </c>
      <c r="AP19" s="4">
        <v>0.0</v>
      </c>
      <c r="AQ19" s="4">
        <v>1.0</v>
      </c>
      <c r="AR19" s="4">
        <v>0.0</v>
      </c>
      <c r="AS19" s="4">
        <v>0.0</v>
      </c>
      <c r="AT19" s="4">
        <v>0.0</v>
      </c>
      <c r="AU19" s="4">
        <v>0.0</v>
      </c>
      <c r="AV19" s="4">
        <v>0.0</v>
      </c>
      <c r="AW19" s="4">
        <v>0.0</v>
      </c>
      <c r="AX19" s="4">
        <v>0.0</v>
      </c>
      <c r="AY19" s="4">
        <v>0.0</v>
      </c>
      <c r="AZ19" s="4">
        <v>0.0</v>
      </c>
      <c r="BA19" s="4">
        <v>0.0</v>
      </c>
      <c r="BB19" s="4">
        <v>0.0</v>
      </c>
    </row>
    <row r="20">
      <c r="A20" s="4" t="s">
        <v>30</v>
      </c>
      <c r="B20" s="3">
        <f t="shared" si="2"/>
        <v>14</v>
      </c>
      <c r="C20" s="4">
        <v>2.0</v>
      </c>
      <c r="D20" s="4">
        <v>1.0</v>
      </c>
      <c r="E20" s="4">
        <v>0.0</v>
      </c>
      <c r="F20" s="4">
        <v>1.0</v>
      </c>
      <c r="G20" s="4">
        <v>2.0</v>
      </c>
      <c r="H20" s="4">
        <v>1.0</v>
      </c>
      <c r="I20" s="4">
        <v>0.0</v>
      </c>
      <c r="J20" s="4">
        <v>1.0</v>
      </c>
      <c r="K20" s="4">
        <v>2.0</v>
      </c>
      <c r="L20" s="4">
        <v>0.0</v>
      </c>
      <c r="M20" s="4">
        <v>0.0</v>
      </c>
      <c r="N20" s="4">
        <v>0.0</v>
      </c>
      <c r="O20" s="4">
        <v>1.0</v>
      </c>
      <c r="P20" s="4">
        <v>1.0</v>
      </c>
      <c r="Q20" s="4">
        <v>0.0</v>
      </c>
      <c r="R20" s="4">
        <v>2.0</v>
      </c>
      <c r="S20" s="4">
        <v>0.0</v>
      </c>
      <c r="T20" s="4">
        <v>0.0</v>
      </c>
      <c r="U20" s="4">
        <v>0.0</v>
      </c>
      <c r="V20" s="4">
        <v>0.0</v>
      </c>
      <c r="W20" s="4">
        <v>0.0</v>
      </c>
      <c r="X20" s="4">
        <v>0.0</v>
      </c>
      <c r="Y20" s="4">
        <v>0.0</v>
      </c>
      <c r="Z20" s="4">
        <v>0.0</v>
      </c>
      <c r="AA20" s="4">
        <v>0.0</v>
      </c>
      <c r="AB20" s="4">
        <v>0.0</v>
      </c>
      <c r="AC20" s="4">
        <v>0.0</v>
      </c>
      <c r="AD20" s="4">
        <v>0.0</v>
      </c>
      <c r="AE20" s="4">
        <v>0.0</v>
      </c>
      <c r="AF20" s="4">
        <v>0.0</v>
      </c>
      <c r="AG20" s="4">
        <v>0.0</v>
      </c>
      <c r="AH20" s="4">
        <v>0.0</v>
      </c>
      <c r="AI20" s="4">
        <v>0.0</v>
      </c>
      <c r="AJ20" s="4">
        <v>0.0</v>
      </c>
      <c r="AK20" s="4">
        <v>0.0</v>
      </c>
      <c r="AL20" s="4">
        <v>0.0</v>
      </c>
      <c r="AM20" s="4">
        <v>0.0</v>
      </c>
      <c r="AN20" s="4">
        <v>0.0</v>
      </c>
      <c r="AO20" s="4">
        <v>0.0</v>
      </c>
      <c r="AP20" s="4">
        <v>0.0</v>
      </c>
      <c r="AQ20" s="4">
        <v>0.0</v>
      </c>
      <c r="AR20" s="4">
        <v>0.0</v>
      </c>
      <c r="AS20" s="4">
        <v>0.0</v>
      </c>
      <c r="AT20" s="4">
        <v>0.0</v>
      </c>
      <c r="AU20" s="4">
        <v>0.0</v>
      </c>
      <c r="AV20" s="4">
        <v>0.0</v>
      </c>
      <c r="AW20" s="4">
        <v>0.0</v>
      </c>
      <c r="AX20" s="4">
        <v>0.0</v>
      </c>
      <c r="AY20" s="4">
        <v>0.0</v>
      </c>
      <c r="AZ20" s="4">
        <v>0.0</v>
      </c>
      <c r="BA20" s="4">
        <v>0.0</v>
      </c>
      <c r="BB20" s="4">
        <v>0.0</v>
      </c>
    </row>
    <row r="21">
      <c r="A21" s="4" t="s">
        <v>39</v>
      </c>
      <c r="B21" s="3">
        <f t="shared" si="2"/>
        <v>11</v>
      </c>
      <c r="C21" s="4">
        <v>0.0</v>
      </c>
      <c r="D21" s="4">
        <v>0.0</v>
      </c>
      <c r="E21" s="4">
        <v>0.0</v>
      </c>
      <c r="F21" s="4">
        <v>0.0</v>
      </c>
      <c r="G21" s="4">
        <v>0.0</v>
      </c>
      <c r="H21" s="4">
        <v>0.0</v>
      </c>
      <c r="I21" s="4">
        <v>0.0</v>
      </c>
      <c r="J21" s="4">
        <v>0.0</v>
      </c>
      <c r="K21" s="4">
        <v>0.0</v>
      </c>
      <c r="L21" s="4">
        <v>1.0</v>
      </c>
      <c r="M21" s="4">
        <v>0.0</v>
      </c>
      <c r="N21" s="4">
        <v>0.0</v>
      </c>
      <c r="O21" s="4">
        <v>0.0</v>
      </c>
      <c r="P21" s="4">
        <v>0.0</v>
      </c>
      <c r="Q21" s="4">
        <v>0.0</v>
      </c>
      <c r="R21" s="4">
        <v>1.0</v>
      </c>
      <c r="S21" s="4">
        <v>0.0</v>
      </c>
      <c r="T21" s="4">
        <v>2.0</v>
      </c>
      <c r="U21" s="4">
        <v>0.0</v>
      </c>
      <c r="V21" s="4">
        <v>0.0</v>
      </c>
      <c r="W21" s="4">
        <v>0.0</v>
      </c>
      <c r="X21" s="4">
        <v>0.0</v>
      </c>
      <c r="Y21" s="4">
        <v>0.0</v>
      </c>
      <c r="Z21" s="4">
        <v>0.0</v>
      </c>
      <c r="AA21" s="4">
        <v>0.0</v>
      </c>
      <c r="AB21" s="4">
        <v>0.0</v>
      </c>
      <c r="AC21" s="4">
        <v>0.0</v>
      </c>
      <c r="AD21" s="4">
        <v>0.0</v>
      </c>
      <c r="AE21" s="4">
        <v>0.0</v>
      </c>
      <c r="AF21" s="4">
        <v>0.0</v>
      </c>
      <c r="AG21" s="4">
        <v>0.0</v>
      </c>
      <c r="AH21" s="4">
        <v>0.0</v>
      </c>
      <c r="AI21" s="4">
        <v>0.0</v>
      </c>
      <c r="AJ21" s="4">
        <v>0.0</v>
      </c>
      <c r="AK21" s="4">
        <v>0.0</v>
      </c>
      <c r="AL21" s="4">
        <v>0.0</v>
      </c>
      <c r="AM21" s="4">
        <v>0.0</v>
      </c>
      <c r="AN21" s="4">
        <v>0.0</v>
      </c>
      <c r="AO21" s="4">
        <v>0.0</v>
      </c>
      <c r="AP21" s="4">
        <v>0.0</v>
      </c>
      <c r="AQ21" s="4">
        <v>0.0</v>
      </c>
      <c r="AR21" s="4">
        <v>0.0</v>
      </c>
      <c r="AS21" s="4">
        <v>0.0</v>
      </c>
      <c r="AT21" s="4">
        <v>0.0</v>
      </c>
      <c r="AU21" s="4">
        <v>0.0</v>
      </c>
      <c r="AV21" s="4">
        <v>0.0</v>
      </c>
      <c r="AW21" s="4">
        <v>1.0</v>
      </c>
      <c r="AX21" s="4">
        <v>2.0</v>
      </c>
      <c r="AY21" s="4">
        <v>1.0</v>
      </c>
      <c r="AZ21" s="4">
        <v>1.0</v>
      </c>
      <c r="BA21" s="4">
        <v>0.0</v>
      </c>
      <c r="BB21" s="4">
        <v>2.0</v>
      </c>
      <c r="BC21" s="4"/>
    </row>
    <row r="22">
      <c r="A22" s="4" t="s">
        <v>29</v>
      </c>
      <c r="B22" s="3">
        <f t="shared" si="2"/>
        <v>11</v>
      </c>
      <c r="C22" s="4">
        <v>1.0</v>
      </c>
      <c r="D22" s="4">
        <v>0.0</v>
      </c>
      <c r="E22" s="4">
        <v>0.0</v>
      </c>
      <c r="F22" s="4">
        <v>0.0</v>
      </c>
      <c r="G22" s="4">
        <v>0.0</v>
      </c>
      <c r="H22" s="4">
        <v>0.0</v>
      </c>
      <c r="I22" s="4">
        <v>0.0</v>
      </c>
      <c r="J22" s="4">
        <v>0.0</v>
      </c>
      <c r="K22" s="4">
        <v>0.0</v>
      </c>
      <c r="L22" s="4">
        <v>0.0</v>
      </c>
      <c r="M22" s="4">
        <v>0.0</v>
      </c>
      <c r="N22" s="4">
        <v>0.0</v>
      </c>
      <c r="O22" s="4">
        <v>2.0</v>
      </c>
      <c r="P22" s="4">
        <v>0.0</v>
      </c>
      <c r="Q22" s="4">
        <v>0.0</v>
      </c>
      <c r="R22" s="4">
        <v>1.0</v>
      </c>
      <c r="S22" s="4">
        <v>0.0</v>
      </c>
      <c r="T22" s="4">
        <v>0.0</v>
      </c>
      <c r="U22" s="4">
        <v>0.0</v>
      </c>
      <c r="V22" s="4">
        <v>0.0</v>
      </c>
      <c r="W22" s="4">
        <v>0.0</v>
      </c>
      <c r="X22" s="4">
        <v>0.0</v>
      </c>
      <c r="Y22" s="4">
        <v>0.0</v>
      </c>
      <c r="Z22" s="4">
        <v>0.0</v>
      </c>
      <c r="AA22" s="4">
        <v>0.0</v>
      </c>
      <c r="AB22" s="4">
        <v>0.0</v>
      </c>
      <c r="AC22" s="4">
        <v>0.0</v>
      </c>
      <c r="AD22" s="4">
        <v>0.0</v>
      </c>
      <c r="AE22" s="4">
        <v>0.0</v>
      </c>
      <c r="AF22" s="4">
        <v>0.0</v>
      </c>
      <c r="AG22" s="4">
        <v>0.0</v>
      </c>
      <c r="AH22" s="4">
        <v>1.0</v>
      </c>
      <c r="AI22" s="4">
        <v>0.0</v>
      </c>
      <c r="AJ22" s="4">
        <v>0.0</v>
      </c>
      <c r="AK22" s="4">
        <v>0.0</v>
      </c>
      <c r="AL22" s="4">
        <v>0.0</v>
      </c>
      <c r="AM22" s="4">
        <v>0.0</v>
      </c>
      <c r="AN22" s="4">
        <v>0.0</v>
      </c>
      <c r="AO22" s="4">
        <v>0.0</v>
      </c>
      <c r="AP22" s="4">
        <v>4.0</v>
      </c>
      <c r="AQ22" s="4">
        <v>1.0</v>
      </c>
      <c r="AR22" s="4">
        <v>0.0</v>
      </c>
      <c r="AS22" s="4">
        <v>0.0</v>
      </c>
      <c r="AT22" s="4">
        <v>0.0</v>
      </c>
      <c r="AU22" s="4">
        <v>0.0</v>
      </c>
      <c r="AV22" s="4">
        <v>0.0</v>
      </c>
      <c r="AW22" s="4">
        <v>0.0</v>
      </c>
      <c r="AX22" s="4">
        <v>0.0</v>
      </c>
      <c r="AY22" s="4">
        <v>0.0</v>
      </c>
      <c r="AZ22" s="4">
        <v>0.0</v>
      </c>
      <c r="BA22" s="4">
        <v>1.0</v>
      </c>
      <c r="BB22" s="4">
        <v>0.0</v>
      </c>
      <c r="BC22" s="8"/>
    </row>
    <row r="23">
      <c r="A23" s="4" t="s">
        <v>1427</v>
      </c>
      <c r="B23" s="3">
        <f t="shared" si="2"/>
        <v>11</v>
      </c>
      <c r="C23" s="4">
        <v>0.0</v>
      </c>
      <c r="D23" s="4">
        <v>0.0</v>
      </c>
      <c r="E23" s="4">
        <v>1.0</v>
      </c>
      <c r="F23" s="4">
        <v>1.0</v>
      </c>
      <c r="G23" s="4">
        <v>0.0</v>
      </c>
      <c r="H23" s="4">
        <v>0.0</v>
      </c>
      <c r="I23" s="4">
        <v>0.0</v>
      </c>
      <c r="J23" s="4">
        <v>0.0</v>
      </c>
      <c r="K23" s="4">
        <v>0.0</v>
      </c>
      <c r="L23" s="4">
        <v>0.0</v>
      </c>
      <c r="M23" s="4">
        <v>0.0</v>
      </c>
      <c r="N23" s="4">
        <v>0.0</v>
      </c>
      <c r="O23" s="4">
        <v>1.0</v>
      </c>
      <c r="P23" s="4">
        <v>0.0</v>
      </c>
      <c r="Q23" s="4">
        <v>0.0</v>
      </c>
      <c r="R23" s="4">
        <v>0.0</v>
      </c>
      <c r="S23" s="4">
        <v>1.0</v>
      </c>
      <c r="T23" s="4">
        <v>0.0</v>
      </c>
      <c r="U23" s="4">
        <v>1.0</v>
      </c>
      <c r="V23" s="4">
        <v>0.0</v>
      </c>
      <c r="W23" s="4">
        <v>1.0</v>
      </c>
      <c r="X23" s="4">
        <v>0.0</v>
      </c>
      <c r="Y23" s="4">
        <v>1.0</v>
      </c>
      <c r="Z23" s="4">
        <v>0.0</v>
      </c>
      <c r="AA23" s="4">
        <v>0.0</v>
      </c>
      <c r="AB23" s="4">
        <v>1.0</v>
      </c>
      <c r="AC23" s="4">
        <v>0.0</v>
      </c>
      <c r="AD23" s="4">
        <v>1.0</v>
      </c>
      <c r="AE23" s="4">
        <v>0.0</v>
      </c>
      <c r="AF23" s="4">
        <v>0.0</v>
      </c>
      <c r="AG23" s="4">
        <v>0.0</v>
      </c>
      <c r="AH23" s="4">
        <v>0.0</v>
      </c>
      <c r="AI23" s="4">
        <v>0.0</v>
      </c>
      <c r="AJ23" s="4">
        <v>0.0</v>
      </c>
      <c r="AK23" s="4">
        <v>0.0</v>
      </c>
      <c r="AL23" s="4">
        <v>0.0</v>
      </c>
      <c r="AM23" s="4">
        <v>0.0</v>
      </c>
      <c r="AN23" s="4">
        <v>0.0</v>
      </c>
      <c r="AO23" s="4">
        <v>1.0</v>
      </c>
      <c r="AP23" s="4">
        <v>0.0</v>
      </c>
      <c r="AQ23" s="4">
        <v>0.0</v>
      </c>
      <c r="AR23" s="4">
        <v>1.0</v>
      </c>
      <c r="AS23" s="4">
        <v>0.0</v>
      </c>
      <c r="AT23" s="4">
        <v>0.0</v>
      </c>
      <c r="AU23" s="4">
        <v>0.0</v>
      </c>
      <c r="AV23" s="4">
        <v>0.0</v>
      </c>
      <c r="AW23" s="4">
        <v>0.0</v>
      </c>
      <c r="AX23" s="4">
        <v>0.0</v>
      </c>
      <c r="AY23" s="4">
        <v>0.0</v>
      </c>
      <c r="AZ23" s="4">
        <v>0.0</v>
      </c>
      <c r="BA23" s="4">
        <v>0.0</v>
      </c>
      <c r="BB23" s="4">
        <v>0.0</v>
      </c>
    </row>
    <row r="24">
      <c r="A24" s="4" t="s">
        <v>38</v>
      </c>
      <c r="B24" s="3">
        <f t="shared" si="2"/>
        <v>7</v>
      </c>
      <c r="C24" s="4">
        <v>1.0</v>
      </c>
      <c r="D24" s="4">
        <v>0.0</v>
      </c>
      <c r="E24" s="4">
        <v>0.0</v>
      </c>
      <c r="F24" s="4">
        <v>0.0</v>
      </c>
      <c r="G24" s="4">
        <v>0.0</v>
      </c>
      <c r="H24" s="4">
        <v>0.0</v>
      </c>
      <c r="I24" s="4">
        <v>0.0</v>
      </c>
      <c r="J24" s="4">
        <v>0.0</v>
      </c>
      <c r="K24" s="4">
        <v>0.0</v>
      </c>
      <c r="L24" s="4">
        <v>0.0</v>
      </c>
      <c r="M24" s="4">
        <v>0.0</v>
      </c>
      <c r="N24" s="4">
        <v>0.0</v>
      </c>
      <c r="O24" s="4">
        <v>1.0</v>
      </c>
      <c r="P24" s="4">
        <v>0.0</v>
      </c>
      <c r="Q24" s="4">
        <v>0.0</v>
      </c>
      <c r="R24" s="4">
        <v>0.0</v>
      </c>
      <c r="S24" s="4">
        <v>0.0</v>
      </c>
      <c r="T24" s="4">
        <v>0.0</v>
      </c>
      <c r="U24" s="4">
        <v>0.0</v>
      </c>
      <c r="V24" s="4">
        <v>1.0</v>
      </c>
      <c r="W24" s="4">
        <v>0.0</v>
      </c>
      <c r="X24" s="4">
        <v>0.0</v>
      </c>
      <c r="Y24" s="4">
        <v>0.0</v>
      </c>
      <c r="Z24" s="4">
        <v>0.0</v>
      </c>
      <c r="AA24" s="4">
        <v>1.0</v>
      </c>
      <c r="AB24" s="4">
        <v>0.0</v>
      </c>
      <c r="AC24" s="4">
        <v>0.0</v>
      </c>
      <c r="AD24" s="4">
        <v>0.0</v>
      </c>
      <c r="AE24" s="4">
        <v>0.0</v>
      </c>
      <c r="AF24" s="4">
        <v>0.0</v>
      </c>
      <c r="AG24" s="4">
        <v>0.0</v>
      </c>
      <c r="AH24" s="4">
        <v>0.0</v>
      </c>
      <c r="AI24" s="4">
        <v>1.0</v>
      </c>
      <c r="AJ24" s="4">
        <v>0.0</v>
      </c>
      <c r="AK24" s="4">
        <v>0.0</v>
      </c>
      <c r="AL24" s="4">
        <v>0.0</v>
      </c>
      <c r="AM24" s="4">
        <v>0.0</v>
      </c>
      <c r="AN24" s="4">
        <v>0.0</v>
      </c>
      <c r="AO24" s="4">
        <v>0.0</v>
      </c>
      <c r="AP24" s="4">
        <v>0.0</v>
      </c>
      <c r="AQ24" s="4">
        <v>0.0</v>
      </c>
      <c r="AR24" s="4">
        <v>0.0</v>
      </c>
      <c r="AS24" s="4">
        <v>0.0</v>
      </c>
      <c r="AT24" s="4">
        <v>0.0</v>
      </c>
      <c r="AU24" s="4">
        <v>0.0</v>
      </c>
      <c r="AV24" s="4">
        <v>0.0</v>
      </c>
      <c r="AW24" s="4">
        <v>1.0</v>
      </c>
      <c r="AX24" s="4">
        <v>1.0</v>
      </c>
      <c r="AY24" s="4">
        <v>0.0</v>
      </c>
      <c r="AZ24" s="4">
        <v>0.0</v>
      </c>
      <c r="BA24" s="4">
        <v>0.0</v>
      </c>
      <c r="BB24" s="4">
        <v>0.0</v>
      </c>
    </row>
    <row r="25">
      <c r="A25" s="4" t="s">
        <v>50</v>
      </c>
      <c r="B25" s="3">
        <f t="shared" si="2"/>
        <v>6</v>
      </c>
      <c r="C25" s="4">
        <v>0.0</v>
      </c>
      <c r="D25" s="4">
        <v>0.0</v>
      </c>
      <c r="E25" s="4">
        <v>1.0</v>
      </c>
      <c r="F25" s="4">
        <v>0.0</v>
      </c>
      <c r="G25" s="4">
        <v>0.0</v>
      </c>
      <c r="H25" s="4">
        <v>0.0</v>
      </c>
      <c r="I25" s="4">
        <v>0.0</v>
      </c>
      <c r="J25" s="4">
        <v>0.0</v>
      </c>
      <c r="K25" s="4">
        <v>1.0</v>
      </c>
      <c r="L25" s="4">
        <v>0.0</v>
      </c>
      <c r="M25" s="4">
        <v>0.0</v>
      </c>
      <c r="N25" s="4">
        <v>0.0</v>
      </c>
      <c r="O25" s="4">
        <v>1.0</v>
      </c>
      <c r="P25" s="4">
        <v>0.0</v>
      </c>
      <c r="Q25" s="4">
        <v>0.0</v>
      </c>
      <c r="R25" s="4">
        <v>0.0</v>
      </c>
      <c r="S25" s="4">
        <v>0.0</v>
      </c>
      <c r="T25" s="4">
        <v>1.0</v>
      </c>
      <c r="U25" s="4">
        <v>0.0</v>
      </c>
      <c r="V25" s="4">
        <v>0.0</v>
      </c>
      <c r="W25" s="4">
        <v>0.0</v>
      </c>
      <c r="X25" s="4">
        <v>1.0</v>
      </c>
      <c r="Y25" s="4">
        <v>0.0</v>
      </c>
      <c r="Z25" s="4">
        <v>0.0</v>
      </c>
      <c r="AA25" s="4">
        <v>1.0</v>
      </c>
      <c r="AB25" s="4">
        <v>0.0</v>
      </c>
      <c r="AC25" s="4">
        <v>0.0</v>
      </c>
      <c r="AD25" s="4">
        <v>0.0</v>
      </c>
      <c r="AE25" s="4">
        <v>0.0</v>
      </c>
      <c r="AF25" s="4">
        <v>0.0</v>
      </c>
      <c r="AG25" s="4">
        <v>0.0</v>
      </c>
      <c r="AH25" s="4">
        <v>0.0</v>
      </c>
      <c r="AI25" s="4">
        <v>0.0</v>
      </c>
      <c r="AJ25" s="4">
        <v>0.0</v>
      </c>
      <c r="AK25" s="4">
        <v>0.0</v>
      </c>
      <c r="AL25" s="4">
        <v>0.0</v>
      </c>
      <c r="AM25" s="4">
        <v>0.0</v>
      </c>
      <c r="AN25" s="4">
        <v>0.0</v>
      </c>
      <c r="AO25" s="4">
        <v>0.0</v>
      </c>
      <c r="AP25" s="4">
        <v>0.0</v>
      </c>
      <c r="AQ25" s="4">
        <v>0.0</v>
      </c>
      <c r="AR25" s="4">
        <v>0.0</v>
      </c>
      <c r="AS25" s="4">
        <v>0.0</v>
      </c>
      <c r="AT25" s="4">
        <v>0.0</v>
      </c>
      <c r="AU25" s="4">
        <v>0.0</v>
      </c>
      <c r="AV25" s="4">
        <v>0.0</v>
      </c>
      <c r="AW25" s="4">
        <v>0.0</v>
      </c>
      <c r="AX25" s="4">
        <v>0.0</v>
      </c>
      <c r="AY25" s="4">
        <v>0.0</v>
      </c>
      <c r="AZ25" s="4">
        <v>0.0</v>
      </c>
      <c r="BA25" s="4">
        <v>0.0</v>
      </c>
      <c r="BB25" s="4">
        <v>0.0</v>
      </c>
    </row>
    <row r="26">
      <c r="A26" s="4" t="s">
        <v>1338</v>
      </c>
      <c r="B26" s="3">
        <f t="shared" si="2"/>
        <v>1</v>
      </c>
      <c r="C26" s="4">
        <v>0.0</v>
      </c>
      <c r="D26" s="4">
        <v>0.0</v>
      </c>
      <c r="E26" s="4">
        <v>0.0</v>
      </c>
      <c r="F26" s="4">
        <v>0.0</v>
      </c>
      <c r="G26" s="4">
        <v>0.0</v>
      </c>
      <c r="H26" s="4">
        <v>0.0</v>
      </c>
      <c r="I26" s="4">
        <v>0.0</v>
      </c>
      <c r="J26" s="4">
        <v>0.0</v>
      </c>
      <c r="K26" s="4">
        <v>0.0</v>
      </c>
      <c r="L26" s="4">
        <v>0.0</v>
      </c>
      <c r="M26" s="4">
        <v>0.0</v>
      </c>
      <c r="N26" s="4">
        <v>0.0</v>
      </c>
      <c r="O26" s="4">
        <v>1.0</v>
      </c>
      <c r="P26" s="4">
        <v>0.0</v>
      </c>
      <c r="Q26" s="4">
        <v>0.0</v>
      </c>
      <c r="R26" s="4">
        <v>0.0</v>
      </c>
      <c r="S26" s="4">
        <v>0.0</v>
      </c>
      <c r="T26" s="4">
        <v>0.0</v>
      </c>
      <c r="U26" s="4">
        <v>0.0</v>
      </c>
      <c r="V26" s="4">
        <v>0.0</v>
      </c>
      <c r="W26" s="4">
        <v>0.0</v>
      </c>
      <c r="X26" s="4">
        <v>0.0</v>
      </c>
      <c r="Y26" s="4">
        <v>0.0</v>
      </c>
      <c r="Z26" s="4">
        <v>0.0</v>
      </c>
      <c r="AA26" s="4">
        <v>0.0</v>
      </c>
      <c r="AB26" s="4">
        <v>0.0</v>
      </c>
      <c r="AC26" s="4">
        <v>0.0</v>
      </c>
      <c r="AD26" s="4">
        <v>0.0</v>
      </c>
      <c r="AE26" s="4">
        <v>0.0</v>
      </c>
      <c r="AF26" s="4">
        <v>0.0</v>
      </c>
      <c r="AG26" s="4">
        <v>0.0</v>
      </c>
      <c r="AH26" s="4">
        <v>0.0</v>
      </c>
      <c r="AI26" s="4">
        <v>0.0</v>
      </c>
      <c r="AJ26" s="4">
        <v>0.0</v>
      </c>
      <c r="AK26" s="4">
        <v>0.0</v>
      </c>
      <c r="AL26" s="4">
        <v>0.0</v>
      </c>
      <c r="AM26" s="4">
        <v>0.0</v>
      </c>
      <c r="AN26" s="4">
        <v>0.0</v>
      </c>
      <c r="AO26" s="4">
        <v>0.0</v>
      </c>
      <c r="AP26" s="4">
        <v>0.0</v>
      </c>
      <c r="AQ26" s="4">
        <v>0.0</v>
      </c>
      <c r="AR26" s="4">
        <v>0.0</v>
      </c>
      <c r="AS26" s="4">
        <v>0.0</v>
      </c>
      <c r="AT26" s="4">
        <v>0.0</v>
      </c>
      <c r="AU26" s="4">
        <v>0.0</v>
      </c>
      <c r="AV26" s="4">
        <v>0.0</v>
      </c>
      <c r="AW26" s="4">
        <v>0.0</v>
      </c>
      <c r="AX26" s="4">
        <v>0.0</v>
      </c>
      <c r="AY26" s="4">
        <v>0.0</v>
      </c>
      <c r="AZ26" s="4">
        <v>0.0</v>
      </c>
      <c r="BA26" s="4">
        <v>0.0</v>
      </c>
      <c r="BB26" s="4">
        <v>0.0</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hidden="1" min="1" max="1" width="3.25"/>
    <col customWidth="1" min="2" max="2" width="23.0"/>
    <col customWidth="1" min="3" max="3" width="5.88"/>
    <col customWidth="1" min="4" max="4" width="4.75"/>
    <col customWidth="1" min="5" max="5" width="5.5"/>
    <col customWidth="1" min="6" max="6" width="4.0"/>
    <col customWidth="1" min="7" max="7" width="4.25"/>
    <col customWidth="1" min="8" max="8" width="5.5"/>
    <col customWidth="1" min="9" max="9" width="7.5"/>
    <col customWidth="1" min="10" max="10" width="7.75"/>
    <col customWidth="1" min="11" max="11" width="4.75"/>
    <col customWidth="1" min="12" max="12" width="6.75"/>
    <col customWidth="1" min="13" max="13" width="6.38"/>
    <col customWidth="1" min="14" max="14" width="6.63"/>
    <col customWidth="1" min="15" max="15" width="4.5"/>
    <col customWidth="1" min="16" max="16" width="5.0"/>
    <col customWidth="1" min="17" max="17" width="7.13"/>
    <col customWidth="1" min="18" max="18" width="6.0"/>
    <col customWidth="1" min="19" max="19" width="4.0"/>
    <col customWidth="1" min="20" max="20" width="6.63"/>
    <col customWidth="1" min="21" max="21" width="6.75"/>
    <col customWidth="1" min="22" max="22" width="4.25"/>
    <col customWidth="1" min="23" max="23" width="6.25"/>
    <col customWidth="1" min="24" max="24" width="7.5"/>
    <col customWidth="1" min="25" max="25" width="6.5"/>
    <col customWidth="1" min="26" max="26" width="7.25"/>
  </cols>
  <sheetData>
    <row r="1">
      <c r="A1" s="33"/>
      <c r="B1" s="51">
        <f>SUM(C3:AA999)</f>
        <v>1276</v>
      </c>
      <c r="C1" s="3">
        <f t="shared" ref="C1:Z1" si="1">COUNT(C3:C1599)</f>
        <v>85</v>
      </c>
      <c r="D1" s="3">
        <f t="shared" si="1"/>
        <v>100</v>
      </c>
      <c r="E1" s="3">
        <f t="shared" si="1"/>
        <v>64</v>
      </c>
      <c r="F1" s="3">
        <f t="shared" si="1"/>
        <v>88</v>
      </c>
      <c r="G1" s="3">
        <f t="shared" si="1"/>
        <v>110</v>
      </c>
      <c r="H1" s="3">
        <f t="shared" si="1"/>
        <v>14</v>
      </c>
      <c r="I1" s="3">
        <f t="shared" si="1"/>
        <v>72</v>
      </c>
      <c r="J1" s="3">
        <f t="shared" si="1"/>
        <v>7</v>
      </c>
      <c r="K1" s="3">
        <f t="shared" si="1"/>
        <v>26</v>
      </c>
      <c r="L1" s="3">
        <f t="shared" si="1"/>
        <v>7</v>
      </c>
      <c r="M1" s="3">
        <f t="shared" si="1"/>
        <v>24</v>
      </c>
      <c r="N1" s="3">
        <f t="shared" si="1"/>
        <v>8</v>
      </c>
      <c r="O1" s="3">
        <f t="shared" si="1"/>
        <v>4</v>
      </c>
      <c r="P1" s="3">
        <f t="shared" si="1"/>
        <v>4</v>
      </c>
      <c r="Q1" s="3">
        <f t="shared" si="1"/>
        <v>51</v>
      </c>
      <c r="R1" s="3">
        <f t="shared" si="1"/>
        <v>11</v>
      </c>
      <c r="S1" s="3">
        <f t="shared" si="1"/>
        <v>9</v>
      </c>
      <c r="T1" s="3">
        <f t="shared" si="1"/>
        <v>47</v>
      </c>
      <c r="U1" s="3">
        <f t="shared" si="1"/>
        <v>3</v>
      </c>
      <c r="V1" s="3">
        <f t="shared" si="1"/>
        <v>6</v>
      </c>
      <c r="W1" s="3">
        <f t="shared" si="1"/>
        <v>57</v>
      </c>
      <c r="X1" s="3">
        <f t="shared" si="1"/>
        <v>13</v>
      </c>
      <c r="Y1" s="3">
        <f t="shared" si="1"/>
        <v>7</v>
      </c>
      <c r="Z1" s="3">
        <f t="shared" si="1"/>
        <v>1</v>
      </c>
    </row>
    <row r="2">
      <c r="A2" s="3" t="s">
        <v>1346</v>
      </c>
      <c r="B2" s="52" t="s">
        <v>1428</v>
      </c>
      <c r="C2" s="4" t="s">
        <v>19</v>
      </c>
      <c r="D2" s="4" t="s">
        <v>18</v>
      </c>
      <c r="E2" s="4" t="s">
        <v>1347</v>
      </c>
      <c r="F2" s="4" t="s">
        <v>23</v>
      </c>
      <c r="G2" s="4" t="s">
        <v>26</v>
      </c>
      <c r="H2" s="4" t="s">
        <v>34</v>
      </c>
      <c r="I2" s="4" t="s">
        <v>22</v>
      </c>
      <c r="J2" s="4" t="s">
        <v>39</v>
      </c>
      <c r="K2" s="4" t="s">
        <v>32</v>
      </c>
      <c r="L2" s="4" t="s">
        <v>29</v>
      </c>
      <c r="M2" s="4" t="s">
        <v>36</v>
      </c>
      <c r="N2" s="4" t="s">
        <v>44</v>
      </c>
      <c r="O2" s="4" t="s">
        <v>1429</v>
      </c>
      <c r="P2" s="4" t="s">
        <v>1339</v>
      </c>
      <c r="Q2" s="4" t="s">
        <v>35</v>
      </c>
      <c r="R2" s="4" t="s">
        <v>33</v>
      </c>
      <c r="S2" s="4" t="s">
        <v>42</v>
      </c>
      <c r="T2" s="4" t="s">
        <v>24</v>
      </c>
      <c r="U2" s="4" t="s">
        <v>47</v>
      </c>
      <c r="V2" s="4" t="s">
        <v>50</v>
      </c>
      <c r="W2" s="4" t="s">
        <v>31</v>
      </c>
      <c r="X2" s="4" t="s">
        <v>1262</v>
      </c>
      <c r="Y2" s="4" t="s">
        <v>30</v>
      </c>
      <c r="Z2" s="4" t="s">
        <v>1338</v>
      </c>
    </row>
    <row r="3">
      <c r="A3" s="4" t="s">
        <v>1348</v>
      </c>
      <c r="B3" s="52" t="s">
        <v>1266</v>
      </c>
      <c r="M3" s="4">
        <v>1.0</v>
      </c>
    </row>
    <row r="4">
      <c r="A4" s="4" t="s">
        <v>1348</v>
      </c>
      <c r="B4" s="52" t="s">
        <v>1267</v>
      </c>
      <c r="M4" s="4">
        <v>1.0</v>
      </c>
    </row>
    <row r="5">
      <c r="A5" s="4" t="s">
        <v>1348</v>
      </c>
      <c r="B5" s="52" t="s">
        <v>418</v>
      </c>
      <c r="W5" s="4">
        <v>1.0</v>
      </c>
    </row>
    <row r="6">
      <c r="A6" s="4" t="s">
        <v>1348</v>
      </c>
      <c r="B6" s="52" t="s">
        <v>419</v>
      </c>
      <c r="T6" s="4"/>
      <c r="W6" s="4">
        <v>1.0</v>
      </c>
    </row>
    <row r="7">
      <c r="A7" s="4" t="s">
        <v>1348</v>
      </c>
      <c r="B7" s="52" t="s">
        <v>421</v>
      </c>
      <c r="W7" s="4">
        <v>1.0</v>
      </c>
    </row>
    <row r="8">
      <c r="A8" s="4" t="s">
        <v>1348</v>
      </c>
      <c r="B8" s="52" t="s">
        <v>422</v>
      </c>
      <c r="G8" s="4">
        <v>1.0</v>
      </c>
    </row>
    <row r="9">
      <c r="A9" s="4" t="s">
        <v>1348</v>
      </c>
      <c r="B9" s="52" t="s">
        <v>423</v>
      </c>
      <c r="E9" s="4">
        <v>1.0</v>
      </c>
      <c r="G9" s="4">
        <v>1.0</v>
      </c>
    </row>
    <row r="10">
      <c r="A10" s="4" t="s">
        <v>1348</v>
      </c>
      <c r="B10" s="52" t="s">
        <v>580</v>
      </c>
      <c r="E10" s="4">
        <v>1.0</v>
      </c>
    </row>
    <row r="11">
      <c r="A11" s="4" t="s">
        <v>1348</v>
      </c>
      <c r="B11" s="52" t="s">
        <v>424</v>
      </c>
      <c r="K11" s="4">
        <v>1.0</v>
      </c>
    </row>
    <row r="12">
      <c r="A12" s="4" t="s">
        <v>1348</v>
      </c>
      <c r="B12" s="52" t="s">
        <v>426</v>
      </c>
      <c r="F12" s="4">
        <v>1.0</v>
      </c>
      <c r="H12" s="4">
        <v>1.0</v>
      </c>
    </row>
    <row r="13">
      <c r="A13" s="4" t="s">
        <v>1348</v>
      </c>
      <c r="B13" s="52" t="s">
        <v>142</v>
      </c>
      <c r="T13" s="4">
        <v>3.0</v>
      </c>
    </row>
    <row r="14">
      <c r="A14" s="4" t="s">
        <v>1349</v>
      </c>
      <c r="B14" s="52" t="s">
        <v>282</v>
      </c>
      <c r="C14" s="4">
        <v>1.0</v>
      </c>
      <c r="D14" s="4">
        <v>1.0</v>
      </c>
      <c r="E14" s="4">
        <v>1.0</v>
      </c>
      <c r="F14" s="4">
        <v>1.0</v>
      </c>
      <c r="G14" s="4">
        <v>1.0</v>
      </c>
      <c r="I14" s="4">
        <v>1.0</v>
      </c>
    </row>
    <row r="15">
      <c r="A15" s="4" t="s">
        <v>1348</v>
      </c>
      <c r="B15" s="52" t="s">
        <v>240</v>
      </c>
      <c r="E15" s="4">
        <v>1.0</v>
      </c>
      <c r="F15" s="4">
        <v>1.0</v>
      </c>
      <c r="G15" s="4">
        <v>1.0</v>
      </c>
    </row>
    <row r="16">
      <c r="A16" s="4" t="s">
        <v>1348</v>
      </c>
      <c r="B16" s="52" t="s">
        <v>241</v>
      </c>
      <c r="C16" s="4">
        <v>2.0</v>
      </c>
      <c r="D16" s="4">
        <v>2.0</v>
      </c>
      <c r="E16" s="4">
        <v>1.0</v>
      </c>
      <c r="F16" s="4">
        <v>1.0</v>
      </c>
      <c r="G16" s="4">
        <v>1.0</v>
      </c>
    </row>
    <row r="17">
      <c r="A17" s="4" t="s">
        <v>1349</v>
      </c>
      <c r="B17" s="52" t="s">
        <v>283</v>
      </c>
      <c r="C17" s="4">
        <v>1.0</v>
      </c>
      <c r="D17" s="4">
        <v>1.0</v>
      </c>
      <c r="E17" s="4">
        <v>1.0</v>
      </c>
      <c r="F17" s="4">
        <v>1.0</v>
      </c>
      <c r="G17" s="4">
        <v>1.0</v>
      </c>
      <c r="I17" s="4">
        <v>1.0</v>
      </c>
    </row>
    <row r="18">
      <c r="A18" s="4" t="s">
        <v>1349</v>
      </c>
      <c r="B18" s="52" t="s">
        <v>284</v>
      </c>
      <c r="W18" s="4">
        <v>2.0</v>
      </c>
    </row>
    <row r="19">
      <c r="A19" s="4" t="s">
        <v>1349</v>
      </c>
      <c r="B19" s="52" t="s">
        <v>285</v>
      </c>
      <c r="C19" s="4">
        <v>1.0</v>
      </c>
      <c r="D19" s="4">
        <v>1.0</v>
      </c>
      <c r="E19" s="4">
        <v>1.0</v>
      </c>
      <c r="F19" s="4">
        <v>1.0</v>
      </c>
      <c r="G19" s="4">
        <v>1.0</v>
      </c>
      <c r="I19" s="4">
        <v>1.0</v>
      </c>
    </row>
    <row r="20">
      <c r="A20" s="4" t="s">
        <v>1348</v>
      </c>
      <c r="B20" s="52" t="s">
        <v>286</v>
      </c>
      <c r="D20" s="4">
        <v>1.0</v>
      </c>
      <c r="E20" s="4">
        <v>1.0</v>
      </c>
      <c r="F20" s="4">
        <v>1.0</v>
      </c>
      <c r="I20" s="4">
        <v>1.0</v>
      </c>
    </row>
    <row r="21">
      <c r="A21" s="4" t="s">
        <v>1349</v>
      </c>
      <c r="B21" s="52" t="s">
        <v>287</v>
      </c>
      <c r="C21" s="4">
        <v>1.0</v>
      </c>
      <c r="D21" s="4">
        <v>1.0</v>
      </c>
      <c r="E21" s="4">
        <v>1.0</v>
      </c>
      <c r="F21" s="4">
        <v>1.0</v>
      </c>
      <c r="G21" s="4">
        <v>1.0</v>
      </c>
    </row>
    <row r="22">
      <c r="A22" s="4" t="s">
        <v>1348</v>
      </c>
      <c r="B22" s="52" t="s">
        <v>1430</v>
      </c>
      <c r="J22" s="4">
        <v>1.0</v>
      </c>
      <c r="M22" s="4">
        <v>1.0</v>
      </c>
    </row>
    <row r="23">
      <c r="A23" s="4" t="s">
        <v>57</v>
      </c>
      <c r="B23" s="52" t="s">
        <v>582</v>
      </c>
      <c r="G23" s="4">
        <v>1.0</v>
      </c>
      <c r="Q23" s="4">
        <v>1.0</v>
      </c>
    </row>
    <row r="24">
      <c r="A24" s="4" t="s">
        <v>57</v>
      </c>
      <c r="B24" s="52" t="s">
        <v>427</v>
      </c>
      <c r="C24" s="4">
        <v>1.0</v>
      </c>
      <c r="D24" s="4">
        <v>1.0</v>
      </c>
      <c r="E24" s="4">
        <v>1.0</v>
      </c>
      <c r="F24" s="4">
        <v>1.0</v>
      </c>
      <c r="G24" s="4">
        <v>1.0</v>
      </c>
      <c r="Q24" s="4">
        <v>1.0</v>
      </c>
      <c r="T24" s="4">
        <v>1.0</v>
      </c>
      <c r="W24" s="4">
        <v>1.0</v>
      </c>
    </row>
    <row r="25">
      <c r="A25" s="4" t="s">
        <v>57</v>
      </c>
      <c r="B25" s="52" t="s">
        <v>252</v>
      </c>
      <c r="C25" s="4">
        <v>1.0</v>
      </c>
      <c r="F25" s="4">
        <v>1.0</v>
      </c>
    </row>
    <row r="26">
      <c r="A26" s="4" t="s">
        <v>57</v>
      </c>
      <c r="B26" s="52" t="s">
        <v>254</v>
      </c>
      <c r="C26" s="4">
        <v>1.0</v>
      </c>
      <c r="F26" s="4">
        <v>1.0</v>
      </c>
    </row>
    <row r="27">
      <c r="A27" s="4" t="s">
        <v>57</v>
      </c>
      <c r="B27" s="52" t="s">
        <v>428</v>
      </c>
      <c r="D27" s="4">
        <v>1.0</v>
      </c>
      <c r="E27" s="4">
        <v>1.0</v>
      </c>
      <c r="F27" s="4">
        <v>1.0</v>
      </c>
      <c r="G27" s="4">
        <v>1.0</v>
      </c>
    </row>
    <row r="28">
      <c r="A28" s="4" t="s">
        <v>1349</v>
      </c>
      <c r="B28" s="52" t="s">
        <v>583</v>
      </c>
      <c r="G28" s="4">
        <v>1.0</v>
      </c>
    </row>
    <row r="29">
      <c r="A29" s="4" t="s">
        <v>1349</v>
      </c>
      <c r="B29" s="52" t="s">
        <v>925</v>
      </c>
      <c r="F29" s="4">
        <v>1.0</v>
      </c>
    </row>
    <row r="30">
      <c r="A30" s="4" t="s">
        <v>57</v>
      </c>
      <c r="B30" s="52" t="s">
        <v>246</v>
      </c>
      <c r="C30" s="4">
        <v>1.0</v>
      </c>
    </row>
    <row r="31">
      <c r="A31" s="4" t="s">
        <v>57</v>
      </c>
      <c r="B31" s="52" t="s">
        <v>708</v>
      </c>
      <c r="C31" s="4">
        <v>1.0</v>
      </c>
    </row>
    <row r="32">
      <c r="A32" s="4" t="s">
        <v>1348</v>
      </c>
      <c r="B32" s="52" t="s">
        <v>101</v>
      </c>
      <c r="N32" s="4">
        <v>1.0</v>
      </c>
    </row>
    <row r="33">
      <c r="A33" s="4" t="s">
        <v>1348</v>
      </c>
      <c r="B33" s="52" t="s">
        <v>102</v>
      </c>
      <c r="N33" s="4">
        <v>1.0</v>
      </c>
    </row>
    <row r="34">
      <c r="A34" s="4" t="s">
        <v>1348</v>
      </c>
      <c r="B34" s="52" t="s">
        <v>103</v>
      </c>
      <c r="N34" s="4">
        <v>4.0</v>
      </c>
    </row>
    <row r="35">
      <c r="A35" s="4" t="s">
        <v>1348</v>
      </c>
      <c r="B35" s="52" t="s">
        <v>152</v>
      </c>
      <c r="F35" s="4">
        <v>1.0</v>
      </c>
    </row>
    <row r="36">
      <c r="A36" s="4" t="s">
        <v>1348</v>
      </c>
      <c r="B36" s="52" t="s">
        <v>438</v>
      </c>
      <c r="G36" s="4">
        <v>1.0</v>
      </c>
      <c r="V36" s="4">
        <v>1.0</v>
      </c>
    </row>
    <row r="37">
      <c r="A37" s="4" t="s">
        <v>1349</v>
      </c>
      <c r="B37" s="52" t="s">
        <v>587</v>
      </c>
      <c r="F37" s="4">
        <v>1.0</v>
      </c>
      <c r="K37" s="4">
        <v>1.0</v>
      </c>
      <c r="Q37" s="4">
        <v>1.0</v>
      </c>
    </row>
    <row r="38">
      <c r="A38" s="4" t="s">
        <v>57</v>
      </c>
      <c r="B38" s="52" t="s">
        <v>1431</v>
      </c>
      <c r="C38" s="4">
        <v>1.0</v>
      </c>
      <c r="D38" s="4">
        <v>2.0</v>
      </c>
      <c r="E38" s="4">
        <v>1.0</v>
      </c>
      <c r="F38" s="4">
        <v>1.0</v>
      </c>
      <c r="G38" s="4">
        <v>5.0</v>
      </c>
      <c r="K38" s="4">
        <v>1.0</v>
      </c>
      <c r="L38" s="4">
        <v>1.0</v>
      </c>
      <c r="M38" s="4"/>
      <c r="Q38" s="4">
        <v>1.0</v>
      </c>
      <c r="T38" s="4">
        <v>1.0</v>
      </c>
    </row>
    <row r="39">
      <c r="A39" s="4" t="s">
        <v>1349</v>
      </c>
      <c r="B39" s="52" t="s">
        <v>443</v>
      </c>
      <c r="D39" s="4">
        <v>1.0</v>
      </c>
      <c r="E39" s="4">
        <v>1.0</v>
      </c>
      <c r="F39" s="4">
        <v>1.0</v>
      </c>
      <c r="G39" s="4">
        <v>1.0</v>
      </c>
      <c r="K39" s="4">
        <v>1.0</v>
      </c>
      <c r="Q39" s="4">
        <v>1.0</v>
      </c>
      <c r="T39" s="4">
        <v>1.0</v>
      </c>
      <c r="V39" s="4">
        <v>1.0</v>
      </c>
      <c r="Y39" s="4">
        <v>1.0</v>
      </c>
    </row>
    <row r="40">
      <c r="A40" s="4" t="s">
        <v>1349</v>
      </c>
      <c r="B40" s="52" t="s">
        <v>589</v>
      </c>
      <c r="C40" s="4">
        <v>4.0</v>
      </c>
      <c r="D40" s="4">
        <v>33.0</v>
      </c>
      <c r="E40" s="4">
        <v>4.0</v>
      </c>
      <c r="F40" s="4">
        <v>1.0</v>
      </c>
      <c r="G40" s="4">
        <v>3.0</v>
      </c>
      <c r="I40" s="4">
        <v>2.0</v>
      </c>
      <c r="O40" s="4">
        <v>4.0</v>
      </c>
      <c r="Q40" s="4">
        <v>2.0</v>
      </c>
    </row>
    <row r="41">
      <c r="A41" s="4" t="s">
        <v>1348</v>
      </c>
      <c r="B41" s="52" t="s">
        <v>1270</v>
      </c>
      <c r="J41" s="4">
        <v>1.0</v>
      </c>
    </row>
    <row r="42">
      <c r="A42" s="4" t="s">
        <v>1348</v>
      </c>
      <c r="B42" s="52" t="s">
        <v>1271</v>
      </c>
      <c r="J42" s="4">
        <v>1.0</v>
      </c>
    </row>
    <row r="43">
      <c r="A43" s="4" t="s">
        <v>57</v>
      </c>
      <c r="B43" s="52" t="s">
        <v>445</v>
      </c>
      <c r="G43" s="4">
        <v>1.0</v>
      </c>
    </row>
    <row r="44">
      <c r="A44" s="4" t="s">
        <v>1349</v>
      </c>
      <c r="B44" s="52" t="s">
        <v>591</v>
      </c>
      <c r="G44" s="4">
        <v>1.0</v>
      </c>
    </row>
    <row r="45">
      <c r="A45" s="4" t="s">
        <v>57</v>
      </c>
      <c r="B45" s="52" t="s">
        <v>592</v>
      </c>
      <c r="G45" s="4">
        <v>1.0</v>
      </c>
      <c r="K45" s="4">
        <v>1.0</v>
      </c>
    </row>
    <row r="46">
      <c r="A46" s="4" t="s">
        <v>1348</v>
      </c>
      <c r="B46" s="52" t="s">
        <v>265</v>
      </c>
      <c r="E46" s="4">
        <v>1.0</v>
      </c>
    </row>
    <row r="47">
      <c r="A47" s="4" t="s">
        <v>57</v>
      </c>
      <c r="B47" s="52" t="s">
        <v>593</v>
      </c>
      <c r="G47" s="4">
        <v>2.0</v>
      </c>
      <c r="Q47" s="4">
        <v>2.0</v>
      </c>
      <c r="W47" s="4">
        <v>1.0</v>
      </c>
    </row>
    <row r="48">
      <c r="A48" s="4" t="s">
        <v>57</v>
      </c>
      <c r="B48" s="52" t="s">
        <v>446</v>
      </c>
      <c r="D48" s="4">
        <v>1.0</v>
      </c>
      <c r="F48" s="4">
        <v>1.0</v>
      </c>
      <c r="G48" s="4">
        <v>1.0</v>
      </c>
      <c r="K48" s="4">
        <v>1.0</v>
      </c>
      <c r="L48" s="4">
        <v>2.0</v>
      </c>
      <c r="Q48" s="4">
        <v>1.0</v>
      </c>
      <c r="S48" s="4">
        <v>1.0</v>
      </c>
      <c r="T48" s="4">
        <v>1.0</v>
      </c>
      <c r="W48" s="4">
        <v>1.0</v>
      </c>
    </row>
    <row r="49">
      <c r="A49" s="4" t="s">
        <v>57</v>
      </c>
      <c r="B49" s="52" t="s">
        <v>447</v>
      </c>
      <c r="D49" s="4">
        <v>1.0</v>
      </c>
      <c r="F49" s="4">
        <v>3.0</v>
      </c>
      <c r="G49" s="4">
        <v>1.0</v>
      </c>
      <c r="Q49" s="4">
        <v>1.0</v>
      </c>
      <c r="W49" s="4">
        <v>1.0</v>
      </c>
      <c r="X49" s="4">
        <v>1.0</v>
      </c>
    </row>
    <row r="50">
      <c r="A50" s="4" t="s">
        <v>57</v>
      </c>
      <c r="B50" s="52" t="s">
        <v>449</v>
      </c>
      <c r="C50" s="4">
        <v>1.0</v>
      </c>
      <c r="D50" s="4">
        <v>1.0</v>
      </c>
      <c r="G50" s="4">
        <v>1.0</v>
      </c>
      <c r="K50" s="4">
        <v>1.0</v>
      </c>
      <c r="Q50" s="4">
        <v>11.0</v>
      </c>
      <c r="R50" s="4">
        <v>1.0</v>
      </c>
      <c r="T50" s="4">
        <v>1.0</v>
      </c>
      <c r="W50" s="4">
        <v>1.0</v>
      </c>
    </row>
    <row r="51">
      <c r="A51" s="4" t="s">
        <v>57</v>
      </c>
      <c r="B51" s="52" t="s">
        <v>357</v>
      </c>
      <c r="C51" s="4">
        <v>1.0</v>
      </c>
    </row>
    <row r="52">
      <c r="A52" s="4" t="s">
        <v>57</v>
      </c>
      <c r="B52" s="52" t="s">
        <v>450</v>
      </c>
      <c r="C52" s="4">
        <v>2.0</v>
      </c>
      <c r="D52" s="4">
        <v>2.0</v>
      </c>
      <c r="E52" s="4">
        <v>2.0</v>
      </c>
      <c r="F52" s="4">
        <v>1.0</v>
      </c>
      <c r="G52" s="4">
        <v>1.0</v>
      </c>
      <c r="Q52" s="4">
        <v>1.0</v>
      </c>
      <c r="W52" s="4">
        <v>3.0</v>
      </c>
      <c r="X52" s="4">
        <v>1.0</v>
      </c>
    </row>
    <row r="53">
      <c r="A53" s="4" t="s">
        <v>1349</v>
      </c>
      <c r="B53" s="52" t="s">
        <v>451</v>
      </c>
      <c r="C53" s="4">
        <v>1.0</v>
      </c>
      <c r="D53" s="4">
        <v>1.0</v>
      </c>
      <c r="E53" s="4">
        <v>1.0</v>
      </c>
      <c r="F53" s="4">
        <v>1.0</v>
      </c>
      <c r="G53" s="4">
        <v>1.0</v>
      </c>
      <c r="L53" s="4">
        <v>1.0</v>
      </c>
      <c r="O53" s="4">
        <v>1.0</v>
      </c>
      <c r="Q53" s="4">
        <v>1.0</v>
      </c>
      <c r="R53" s="4">
        <v>1.0</v>
      </c>
      <c r="V53" s="4">
        <v>1.0</v>
      </c>
      <c r="X53" s="4">
        <v>1.0</v>
      </c>
      <c r="Z53" s="4">
        <v>1.0</v>
      </c>
    </row>
    <row r="54">
      <c r="A54" s="4" t="s">
        <v>57</v>
      </c>
      <c r="B54" s="52" t="s">
        <v>411</v>
      </c>
      <c r="D54" s="4">
        <v>1.0</v>
      </c>
    </row>
    <row r="55">
      <c r="A55" s="4" t="s">
        <v>57</v>
      </c>
      <c r="B55" s="52" t="s">
        <v>597</v>
      </c>
      <c r="F55" s="4">
        <v>1.0</v>
      </c>
    </row>
    <row r="56">
      <c r="A56" s="4" t="s">
        <v>57</v>
      </c>
      <c r="B56" s="52" t="s">
        <v>598</v>
      </c>
      <c r="C56" s="4">
        <v>1.0</v>
      </c>
      <c r="D56" s="4">
        <v>1.0</v>
      </c>
      <c r="E56" s="4">
        <v>1.0</v>
      </c>
      <c r="F56" s="4">
        <v>46.0</v>
      </c>
      <c r="G56" s="4">
        <v>1.0</v>
      </c>
      <c r="H56" s="4">
        <v>33.0</v>
      </c>
      <c r="K56" s="4">
        <v>1.0</v>
      </c>
      <c r="T56" s="4">
        <v>1.0</v>
      </c>
      <c r="W56" s="4">
        <v>1.0</v>
      </c>
      <c r="Y56" s="4">
        <v>7.0</v>
      </c>
    </row>
    <row r="57">
      <c r="A57" s="4" t="s">
        <v>57</v>
      </c>
      <c r="B57" s="52" t="s">
        <v>600</v>
      </c>
      <c r="F57" s="4">
        <v>1.0</v>
      </c>
      <c r="H57" s="4">
        <v>1.0</v>
      </c>
    </row>
    <row r="58">
      <c r="A58" s="4" t="s">
        <v>57</v>
      </c>
      <c r="B58" s="52" t="s">
        <v>601</v>
      </c>
      <c r="G58" s="4">
        <v>1.0</v>
      </c>
    </row>
    <row r="59">
      <c r="A59" s="4" t="s">
        <v>1348</v>
      </c>
      <c r="B59" s="52" t="s">
        <v>1273</v>
      </c>
      <c r="U59" s="4">
        <v>1.0</v>
      </c>
    </row>
    <row r="60">
      <c r="A60" s="4" t="s">
        <v>1348</v>
      </c>
      <c r="B60" s="52" t="s">
        <v>1275</v>
      </c>
      <c r="D60" s="4">
        <v>1.0</v>
      </c>
      <c r="S60" s="4">
        <v>2.0</v>
      </c>
      <c r="U60" s="4">
        <v>25.0</v>
      </c>
    </row>
    <row r="61">
      <c r="A61" s="4" t="s">
        <v>57</v>
      </c>
      <c r="B61" s="52" t="s">
        <v>602</v>
      </c>
      <c r="F61" s="4">
        <v>3.0</v>
      </c>
    </row>
    <row r="62">
      <c r="A62" s="4" t="s">
        <v>57</v>
      </c>
      <c r="B62" s="52" t="s">
        <v>1352</v>
      </c>
      <c r="C62" s="4">
        <v>1.0</v>
      </c>
      <c r="D62" s="4">
        <v>1.0</v>
      </c>
      <c r="E62" s="4">
        <v>1.0</v>
      </c>
      <c r="F62" s="4">
        <v>1.0</v>
      </c>
      <c r="G62" s="4">
        <v>1.0</v>
      </c>
    </row>
    <row r="63">
      <c r="A63" s="4" t="s">
        <v>57</v>
      </c>
      <c r="B63" s="52" t="s">
        <v>1356</v>
      </c>
      <c r="C63" s="4">
        <v>1.0</v>
      </c>
    </row>
    <row r="64">
      <c r="A64" s="4" t="s">
        <v>57</v>
      </c>
      <c r="B64" s="52" t="s">
        <v>1357</v>
      </c>
      <c r="C64" s="4">
        <v>1.0</v>
      </c>
      <c r="D64" s="4">
        <v>1.0</v>
      </c>
      <c r="E64" s="4">
        <v>1.0</v>
      </c>
      <c r="F64" s="4">
        <v>1.0</v>
      </c>
      <c r="G64" s="4">
        <v>1.0</v>
      </c>
    </row>
    <row r="65">
      <c r="A65" s="4" t="s">
        <v>1349</v>
      </c>
      <c r="B65" s="52" t="s">
        <v>77</v>
      </c>
      <c r="C65" s="4">
        <v>1.0</v>
      </c>
      <c r="F65" s="4">
        <v>1.0</v>
      </c>
      <c r="G65" s="4">
        <v>1.0</v>
      </c>
      <c r="J65" s="4">
        <v>4.0</v>
      </c>
    </row>
    <row r="66">
      <c r="A66" s="4" t="s">
        <v>57</v>
      </c>
      <c r="B66" s="52" t="s">
        <v>822</v>
      </c>
      <c r="E66" s="4">
        <v>1.0</v>
      </c>
      <c r="F66" s="4">
        <v>1.0</v>
      </c>
    </row>
    <row r="67">
      <c r="A67" s="4" t="s">
        <v>57</v>
      </c>
      <c r="B67" s="52" t="s">
        <v>823</v>
      </c>
      <c r="E67" s="4">
        <v>1.0</v>
      </c>
    </row>
    <row r="68">
      <c r="A68" s="4" t="s">
        <v>57</v>
      </c>
      <c r="B68" s="52" t="s">
        <v>453</v>
      </c>
      <c r="F68" s="4">
        <v>1.0</v>
      </c>
      <c r="G68" s="4">
        <v>1.0</v>
      </c>
      <c r="H68" s="4">
        <v>1.0</v>
      </c>
      <c r="L68" s="4">
        <v>1.0</v>
      </c>
      <c r="W68" s="4">
        <v>1.0</v>
      </c>
    </row>
    <row r="69">
      <c r="A69" s="4" t="s">
        <v>1349</v>
      </c>
      <c r="B69" s="52" t="s">
        <v>741</v>
      </c>
      <c r="G69" s="4">
        <v>1.0</v>
      </c>
      <c r="Q69" s="4">
        <v>1.0</v>
      </c>
    </row>
    <row r="70">
      <c r="A70" s="4" t="s">
        <v>57</v>
      </c>
      <c r="B70" s="52" t="s">
        <v>603</v>
      </c>
      <c r="D70" s="4">
        <v>1.0</v>
      </c>
      <c r="T70" s="4"/>
    </row>
    <row r="71">
      <c r="A71" s="4" t="s">
        <v>57</v>
      </c>
      <c r="B71" s="52" t="s">
        <v>604</v>
      </c>
      <c r="D71" s="4">
        <v>1.0</v>
      </c>
      <c r="S71" s="4">
        <v>1.0</v>
      </c>
    </row>
    <row r="72">
      <c r="A72" s="4" t="s">
        <v>57</v>
      </c>
      <c r="B72" s="52" t="s">
        <v>606</v>
      </c>
      <c r="G72" s="4">
        <v>1.0</v>
      </c>
    </row>
    <row r="73">
      <c r="A73" s="4" t="s">
        <v>57</v>
      </c>
      <c r="B73" s="52" t="s">
        <v>607</v>
      </c>
      <c r="G73" s="4">
        <v>1.0</v>
      </c>
    </row>
    <row r="74">
      <c r="A74" s="4" t="s">
        <v>1348</v>
      </c>
      <c r="B74" s="52" t="s">
        <v>310</v>
      </c>
      <c r="E74" s="4">
        <v>1.0</v>
      </c>
    </row>
    <row r="75">
      <c r="A75" s="4" t="s">
        <v>57</v>
      </c>
      <c r="B75" s="52" t="s">
        <v>608</v>
      </c>
      <c r="F75" s="4">
        <v>1.0</v>
      </c>
    </row>
    <row r="76">
      <c r="A76" s="4" t="s">
        <v>57</v>
      </c>
      <c r="B76" s="52" t="s">
        <v>609</v>
      </c>
      <c r="D76" s="4">
        <v>1.0</v>
      </c>
      <c r="Q76" s="4">
        <v>1.0</v>
      </c>
    </row>
    <row r="77">
      <c r="A77" s="4" t="s">
        <v>57</v>
      </c>
      <c r="B77" s="52" t="s">
        <v>883</v>
      </c>
      <c r="D77" s="4">
        <v>1.0</v>
      </c>
    </row>
    <row r="78">
      <c r="A78" s="4" t="s">
        <v>57</v>
      </c>
      <c r="B78" s="52" t="s">
        <v>455</v>
      </c>
      <c r="C78" s="4">
        <v>1.0</v>
      </c>
      <c r="D78" s="4">
        <v>1.0</v>
      </c>
      <c r="E78" s="4">
        <v>1.0</v>
      </c>
      <c r="G78" s="4">
        <v>1.0</v>
      </c>
    </row>
    <row r="79">
      <c r="A79" s="4" t="s">
        <v>57</v>
      </c>
      <c r="B79" s="52" t="s">
        <v>456</v>
      </c>
      <c r="C79" s="4">
        <v>1.0</v>
      </c>
      <c r="D79" s="4"/>
      <c r="E79" s="4">
        <v>1.0</v>
      </c>
      <c r="G79" s="4">
        <v>1.0</v>
      </c>
    </row>
    <row r="80">
      <c r="A80" s="4" t="s">
        <v>57</v>
      </c>
      <c r="B80" s="52" t="s">
        <v>293</v>
      </c>
      <c r="C80" s="4">
        <v>1.0</v>
      </c>
    </row>
    <row r="81">
      <c r="A81" s="4" t="s">
        <v>57</v>
      </c>
      <c r="B81" s="52" t="s">
        <v>294</v>
      </c>
      <c r="C81" s="4">
        <v>1.0</v>
      </c>
    </row>
    <row r="82">
      <c r="A82" s="4" t="s">
        <v>57</v>
      </c>
      <c r="B82" s="52" t="s">
        <v>295</v>
      </c>
      <c r="C82" s="4">
        <v>1.0</v>
      </c>
    </row>
    <row r="83">
      <c r="A83" s="4" t="s">
        <v>57</v>
      </c>
      <c r="B83" s="52" t="s">
        <v>296</v>
      </c>
      <c r="C83" s="4">
        <v>1.0</v>
      </c>
    </row>
    <row r="84">
      <c r="A84" s="4" t="s">
        <v>57</v>
      </c>
      <c r="B84" s="52" t="s">
        <v>300</v>
      </c>
      <c r="C84" s="4">
        <v>1.0</v>
      </c>
    </row>
    <row r="85">
      <c r="A85" s="4" t="s">
        <v>1348</v>
      </c>
      <c r="B85" s="52" t="s">
        <v>131</v>
      </c>
      <c r="J85" s="4">
        <v>1.0</v>
      </c>
      <c r="M85" s="4">
        <v>1.0</v>
      </c>
    </row>
    <row r="86">
      <c r="A86" s="4" t="s">
        <v>1348</v>
      </c>
      <c r="B86" s="52" t="s">
        <v>133</v>
      </c>
      <c r="J86" s="4">
        <v>1.0</v>
      </c>
      <c r="M86" s="4">
        <v>2.0</v>
      </c>
    </row>
    <row r="87">
      <c r="A87" s="4" t="s">
        <v>57</v>
      </c>
      <c r="B87" s="52" t="s">
        <v>799</v>
      </c>
      <c r="D87" s="4">
        <v>1.0</v>
      </c>
      <c r="E87" s="4">
        <v>1.0</v>
      </c>
      <c r="G87" s="4">
        <v>1.0</v>
      </c>
    </row>
    <row r="88">
      <c r="A88" s="4" t="s">
        <v>57</v>
      </c>
      <c r="B88" s="52" t="s">
        <v>1432</v>
      </c>
      <c r="Q88" s="4">
        <v>1.0</v>
      </c>
    </row>
    <row r="89">
      <c r="A89" s="4" t="s">
        <v>57</v>
      </c>
      <c r="B89" s="52" t="s">
        <v>829</v>
      </c>
      <c r="Q89" s="4">
        <v>1.0</v>
      </c>
    </row>
    <row r="90">
      <c r="A90" s="4" t="s">
        <v>57</v>
      </c>
      <c r="B90" s="52" t="s">
        <v>831</v>
      </c>
      <c r="Q90" s="4">
        <v>1.0</v>
      </c>
    </row>
    <row r="91">
      <c r="A91" s="4" t="s">
        <v>57</v>
      </c>
      <c r="B91" s="52" t="s">
        <v>457</v>
      </c>
      <c r="C91" s="4">
        <v>1.0</v>
      </c>
      <c r="D91" s="4">
        <v>1.0</v>
      </c>
      <c r="F91" s="4">
        <v>1.0</v>
      </c>
      <c r="G91" s="4">
        <v>1.0</v>
      </c>
      <c r="W91" s="4">
        <v>1.0</v>
      </c>
    </row>
    <row r="92">
      <c r="A92" s="4" t="s">
        <v>57</v>
      </c>
      <c r="B92" s="52" t="s">
        <v>458</v>
      </c>
      <c r="D92" s="4">
        <v>1.0</v>
      </c>
      <c r="E92" s="4">
        <v>1.0</v>
      </c>
      <c r="F92" s="4">
        <v>1.0</v>
      </c>
      <c r="G92" s="4">
        <v>1.0</v>
      </c>
      <c r="T92" s="4">
        <v>1.0</v>
      </c>
      <c r="W92" s="4">
        <v>1.0</v>
      </c>
    </row>
    <row r="93">
      <c r="A93" s="4" t="s">
        <v>57</v>
      </c>
      <c r="B93" s="52" t="s">
        <v>459</v>
      </c>
      <c r="G93" s="4">
        <v>1.0</v>
      </c>
    </row>
    <row r="94">
      <c r="A94" s="4" t="s">
        <v>57</v>
      </c>
      <c r="B94" s="52" t="s">
        <v>1433</v>
      </c>
      <c r="D94" s="4">
        <v>1.0</v>
      </c>
    </row>
    <row r="95">
      <c r="A95" s="4" t="s">
        <v>57</v>
      </c>
      <c r="B95" s="52" t="s">
        <v>316</v>
      </c>
      <c r="D95" s="4">
        <v>1.0</v>
      </c>
      <c r="E95" s="4">
        <v>1.0</v>
      </c>
      <c r="F95" s="4">
        <v>1.0</v>
      </c>
    </row>
    <row r="96">
      <c r="A96" s="4" t="s">
        <v>57</v>
      </c>
      <c r="B96" s="52" t="s">
        <v>317</v>
      </c>
      <c r="D96" s="4">
        <v>1.0</v>
      </c>
    </row>
    <row r="97">
      <c r="A97" s="4" t="s">
        <v>1348</v>
      </c>
      <c r="B97" s="52" t="s">
        <v>460</v>
      </c>
      <c r="X97" s="4">
        <v>1.0</v>
      </c>
    </row>
    <row r="98">
      <c r="A98" s="4" t="s">
        <v>1348</v>
      </c>
      <c r="B98" s="52" t="s">
        <v>149</v>
      </c>
      <c r="J98" s="4">
        <v>2.0</v>
      </c>
      <c r="M98" s="4">
        <v>1.0</v>
      </c>
    </row>
    <row r="99">
      <c r="A99" s="4" t="s">
        <v>1349</v>
      </c>
      <c r="B99" s="52" t="s">
        <v>1434</v>
      </c>
      <c r="D99" s="4">
        <v>1.0</v>
      </c>
    </row>
    <row r="100">
      <c r="A100" s="4" t="s">
        <v>1348</v>
      </c>
      <c r="B100" s="52" t="s">
        <v>154</v>
      </c>
      <c r="W100" s="4">
        <v>1.0</v>
      </c>
    </row>
    <row r="101">
      <c r="A101" s="4" t="s">
        <v>1348</v>
      </c>
      <c r="B101" s="52" t="s">
        <v>157</v>
      </c>
      <c r="W101" s="4">
        <v>1.0</v>
      </c>
    </row>
    <row r="102">
      <c r="A102" s="4" t="s">
        <v>57</v>
      </c>
      <c r="B102" s="52" t="s">
        <v>462</v>
      </c>
      <c r="C102" s="4">
        <v>2.0</v>
      </c>
      <c r="D102" s="4">
        <v>1.0</v>
      </c>
      <c r="E102" s="4">
        <v>1.0</v>
      </c>
      <c r="F102" s="4">
        <v>8.0</v>
      </c>
      <c r="G102" s="4">
        <v>2.0</v>
      </c>
      <c r="H102" s="4">
        <v>2.0</v>
      </c>
      <c r="W102" s="4">
        <v>1.0</v>
      </c>
      <c r="Y102" s="4">
        <v>1.0</v>
      </c>
    </row>
    <row r="103">
      <c r="A103" s="4" t="s">
        <v>57</v>
      </c>
      <c r="B103" s="52" t="s">
        <v>463</v>
      </c>
      <c r="F103" s="4">
        <v>1.0</v>
      </c>
      <c r="H103" s="4"/>
    </row>
    <row r="104">
      <c r="A104" s="4" t="s">
        <v>57</v>
      </c>
      <c r="B104" s="52" t="s">
        <v>159</v>
      </c>
      <c r="C104" s="4">
        <v>6.0</v>
      </c>
    </row>
    <row r="105">
      <c r="A105" s="4" t="s">
        <v>57</v>
      </c>
      <c r="B105" s="52" t="s">
        <v>611</v>
      </c>
      <c r="C105" s="4">
        <v>1.0</v>
      </c>
      <c r="G105" s="4">
        <v>1.0</v>
      </c>
    </row>
    <row r="106">
      <c r="A106" s="4" t="s">
        <v>57</v>
      </c>
      <c r="B106" s="52" t="s">
        <v>612</v>
      </c>
      <c r="G106" s="4">
        <v>1.0</v>
      </c>
    </row>
    <row r="107">
      <c r="A107" s="4" t="s">
        <v>57</v>
      </c>
      <c r="B107" s="52" t="s">
        <v>614</v>
      </c>
      <c r="C107" s="4">
        <v>1.0</v>
      </c>
      <c r="F107" s="4">
        <v>1.0</v>
      </c>
      <c r="G107" s="4">
        <v>1.0</v>
      </c>
      <c r="Q107" s="4">
        <v>1.0</v>
      </c>
    </row>
    <row r="108">
      <c r="A108" s="4" t="s">
        <v>57</v>
      </c>
      <c r="B108" s="52" t="s">
        <v>464</v>
      </c>
      <c r="G108" s="4">
        <v>1.0</v>
      </c>
      <c r="W108" s="4">
        <v>1.0</v>
      </c>
    </row>
    <row r="109">
      <c r="A109" s="4" t="s">
        <v>1348</v>
      </c>
      <c r="B109" s="52" t="s">
        <v>378</v>
      </c>
      <c r="E109" s="4">
        <v>1.0</v>
      </c>
    </row>
    <row r="110">
      <c r="A110" s="4" t="s">
        <v>57</v>
      </c>
      <c r="B110" s="52" t="s">
        <v>615</v>
      </c>
      <c r="D110" s="4">
        <v>1.0</v>
      </c>
    </row>
    <row r="111">
      <c r="A111" s="4" t="s">
        <v>57</v>
      </c>
      <c r="B111" s="52" t="s">
        <v>465</v>
      </c>
      <c r="F111" s="4">
        <v>3.0</v>
      </c>
      <c r="H111" s="4">
        <v>1.0</v>
      </c>
      <c r="T111" s="4">
        <v>1.0</v>
      </c>
      <c r="W111" s="4">
        <v>1.0</v>
      </c>
    </row>
    <row r="112">
      <c r="A112" s="4" t="s">
        <v>57</v>
      </c>
      <c r="B112" s="52" t="s">
        <v>467</v>
      </c>
      <c r="D112" s="4">
        <v>1.0</v>
      </c>
      <c r="G112" s="4">
        <v>1.0</v>
      </c>
      <c r="K112" s="4">
        <v>1.0</v>
      </c>
      <c r="T112" s="4">
        <v>1.0</v>
      </c>
      <c r="W112" s="4">
        <v>1.0</v>
      </c>
    </row>
    <row r="113">
      <c r="A113" s="4" t="s">
        <v>57</v>
      </c>
      <c r="B113" s="52" t="s">
        <v>468</v>
      </c>
      <c r="D113" s="4">
        <v>1.0</v>
      </c>
      <c r="G113" s="4">
        <v>1.0</v>
      </c>
      <c r="K113" s="4">
        <v>1.0</v>
      </c>
      <c r="Q113" s="4">
        <v>1.0</v>
      </c>
      <c r="T113" s="4">
        <v>1.0</v>
      </c>
      <c r="W113" s="4">
        <v>1.0</v>
      </c>
    </row>
    <row r="114">
      <c r="A114" s="4" t="s">
        <v>57</v>
      </c>
      <c r="B114" s="52" t="s">
        <v>469</v>
      </c>
      <c r="D114" s="4">
        <v>1.0</v>
      </c>
      <c r="E114" s="4">
        <v>1.0</v>
      </c>
      <c r="G114" s="4">
        <v>2.0</v>
      </c>
      <c r="I114" s="4">
        <v>1.0</v>
      </c>
      <c r="Q114" s="4">
        <v>3.0</v>
      </c>
      <c r="T114" s="4">
        <v>2.0</v>
      </c>
      <c r="W114" s="4">
        <v>1.0</v>
      </c>
    </row>
    <row r="115">
      <c r="A115" s="4" t="s">
        <v>1348</v>
      </c>
      <c r="B115" s="52" t="s">
        <v>1073</v>
      </c>
      <c r="N115" s="4">
        <v>1.0</v>
      </c>
    </row>
    <row r="116">
      <c r="A116" s="4" t="s">
        <v>57</v>
      </c>
      <c r="B116" s="52" t="s">
        <v>928</v>
      </c>
      <c r="D116" s="4">
        <v>1.0</v>
      </c>
    </row>
    <row r="117">
      <c r="A117" s="4" t="s">
        <v>57</v>
      </c>
      <c r="B117" s="52" t="s">
        <v>472</v>
      </c>
      <c r="C117" s="4">
        <v>3.0</v>
      </c>
      <c r="D117" s="4">
        <v>3.0</v>
      </c>
      <c r="E117" s="4">
        <v>1.0</v>
      </c>
      <c r="F117" s="4">
        <v>3.0</v>
      </c>
      <c r="G117" s="4">
        <v>15.0</v>
      </c>
      <c r="H117" s="4">
        <v>1.0</v>
      </c>
      <c r="Q117" s="4">
        <v>1.0</v>
      </c>
      <c r="S117" s="4">
        <v>1.0</v>
      </c>
      <c r="T117" s="4">
        <v>1.0</v>
      </c>
      <c r="W117" s="4">
        <v>2.0</v>
      </c>
      <c r="Y117" s="4">
        <v>1.0</v>
      </c>
    </row>
    <row r="118">
      <c r="A118" s="4" t="s">
        <v>1348</v>
      </c>
      <c r="B118" s="52" t="s">
        <v>236</v>
      </c>
      <c r="M118" s="4">
        <v>2.0</v>
      </c>
    </row>
    <row r="119">
      <c r="A119" s="4" t="s">
        <v>57</v>
      </c>
      <c r="B119" s="52" t="s">
        <v>617</v>
      </c>
      <c r="F119" s="4">
        <v>1.0</v>
      </c>
    </row>
    <row r="120">
      <c r="A120" s="4" t="s">
        <v>57</v>
      </c>
      <c r="B120" s="52" t="s">
        <v>619</v>
      </c>
      <c r="D120" s="4">
        <v>1.0</v>
      </c>
    </row>
    <row r="121">
      <c r="A121" s="4" t="s">
        <v>1348</v>
      </c>
      <c r="B121" s="52" t="s">
        <v>473</v>
      </c>
      <c r="L121" s="4">
        <v>1.0</v>
      </c>
    </row>
    <row r="122">
      <c r="A122" s="4" t="s">
        <v>57</v>
      </c>
      <c r="B122" s="52" t="s">
        <v>624</v>
      </c>
      <c r="W122" s="4">
        <v>1.0</v>
      </c>
    </row>
    <row r="123">
      <c r="A123" s="4" t="s">
        <v>57</v>
      </c>
      <c r="B123" s="52" t="s">
        <v>477</v>
      </c>
      <c r="C123" s="4">
        <v>1.0</v>
      </c>
      <c r="G123" s="4">
        <v>1.0</v>
      </c>
    </row>
    <row r="124">
      <c r="A124" s="4" t="s">
        <v>57</v>
      </c>
      <c r="B124" s="52" t="s">
        <v>479</v>
      </c>
      <c r="D124" s="4">
        <v>1.0</v>
      </c>
      <c r="G124" s="4">
        <v>1.0</v>
      </c>
      <c r="Q124" s="4">
        <v>1.0</v>
      </c>
      <c r="T124" s="4">
        <v>1.0</v>
      </c>
    </row>
    <row r="125">
      <c r="A125" s="4" t="s">
        <v>57</v>
      </c>
      <c r="B125" s="52" t="s">
        <v>80</v>
      </c>
      <c r="G125" s="4">
        <v>1.0</v>
      </c>
      <c r="T125" s="4">
        <v>1.0</v>
      </c>
    </row>
    <row r="126">
      <c r="A126" s="4" t="s">
        <v>57</v>
      </c>
      <c r="B126" s="52" t="s">
        <v>84</v>
      </c>
      <c r="G126" s="4">
        <v>1.0</v>
      </c>
    </row>
    <row r="127">
      <c r="A127" s="4" t="s">
        <v>57</v>
      </c>
      <c r="B127" s="52" t="s">
        <v>85</v>
      </c>
      <c r="G127" s="4">
        <v>1.0</v>
      </c>
    </row>
    <row r="128">
      <c r="A128" s="4" t="s">
        <v>57</v>
      </c>
      <c r="B128" s="52" t="s">
        <v>86</v>
      </c>
      <c r="G128" s="4">
        <v>3.0</v>
      </c>
    </row>
    <row r="129">
      <c r="A129" s="4" t="s">
        <v>57</v>
      </c>
      <c r="B129" s="52" t="s">
        <v>88</v>
      </c>
      <c r="T129" s="4">
        <v>1.0</v>
      </c>
    </row>
    <row r="130">
      <c r="A130" s="4" t="s">
        <v>57</v>
      </c>
      <c r="B130" s="52" t="s">
        <v>480</v>
      </c>
      <c r="Q130" s="4">
        <v>1.0</v>
      </c>
    </row>
    <row r="131">
      <c r="A131" s="4" t="s">
        <v>57</v>
      </c>
      <c r="B131" s="52" t="s">
        <v>626</v>
      </c>
      <c r="D131" s="4">
        <v>1.0</v>
      </c>
    </row>
    <row r="132">
      <c r="A132" s="4" t="s">
        <v>57</v>
      </c>
      <c r="B132" s="52" t="s">
        <v>689</v>
      </c>
      <c r="C132" s="4">
        <v>1.0</v>
      </c>
      <c r="D132" s="4">
        <v>1.0</v>
      </c>
      <c r="E132" s="4">
        <v>1.0</v>
      </c>
      <c r="G132" s="4">
        <v>1.0</v>
      </c>
    </row>
    <row r="133">
      <c r="A133" s="4" t="s">
        <v>57</v>
      </c>
      <c r="B133" s="52" t="s">
        <v>690</v>
      </c>
      <c r="C133" s="4">
        <v>1.0</v>
      </c>
      <c r="D133" s="4">
        <v>1.0</v>
      </c>
      <c r="E133" s="4">
        <v>1.0</v>
      </c>
      <c r="G133" s="4">
        <v>1.0</v>
      </c>
    </row>
    <row r="134">
      <c r="A134" s="4" t="s">
        <v>57</v>
      </c>
      <c r="B134" s="52" t="s">
        <v>691</v>
      </c>
      <c r="C134" s="4">
        <v>1.0</v>
      </c>
      <c r="G134" s="4">
        <v>1.0</v>
      </c>
    </row>
    <row r="135">
      <c r="A135" s="4" t="s">
        <v>57</v>
      </c>
      <c r="B135" s="52" t="s">
        <v>692</v>
      </c>
      <c r="C135" s="4">
        <v>1.0</v>
      </c>
      <c r="D135" s="4">
        <v>1.0</v>
      </c>
      <c r="E135" s="4">
        <v>1.0</v>
      </c>
      <c r="G135" s="4">
        <v>1.0</v>
      </c>
    </row>
    <row r="136">
      <c r="A136" s="4" t="s">
        <v>57</v>
      </c>
      <c r="B136" s="52" t="s">
        <v>696</v>
      </c>
      <c r="C136" s="4">
        <v>1.0</v>
      </c>
      <c r="D136" s="4">
        <v>1.0</v>
      </c>
      <c r="E136" s="4">
        <v>1.0</v>
      </c>
      <c r="G136" s="4">
        <v>1.0</v>
      </c>
    </row>
    <row r="137">
      <c r="A137" s="4" t="s">
        <v>57</v>
      </c>
      <c r="B137" s="52" t="s">
        <v>481</v>
      </c>
      <c r="E137" s="4">
        <v>1.0</v>
      </c>
      <c r="G137" s="4">
        <v>1.0</v>
      </c>
    </row>
    <row r="138">
      <c r="A138" s="4" t="s">
        <v>1349</v>
      </c>
      <c r="B138" s="52" t="s">
        <v>628</v>
      </c>
      <c r="H138" s="4">
        <v>1.0</v>
      </c>
    </row>
    <row r="139">
      <c r="A139" s="4" t="s">
        <v>57</v>
      </c>
      <c r="B139" s="52" t="s">
        <v>629</v>
      </c>
      <c r="C139" s="4">
        <v>1.0</v>
      </c>
      <c r="F139" s="4">
        <v>8.0</v>
      </c>
      <c r="H139" s="4">
        <v>1.0</v>
      </c>
    </row>
    <row r="140">
      <c r="A140" s="4" t="s">
        <v>57</v>
      </c>
      <c r="B140" s="52" t="s">
        <v>630</v>
      </c>
      <c r="G140" s="4">
        <v>1.0</v>
      </c>
    </row>
    <row r="141">
      <c r="A141" s="4" t="s">
        <v>57</v>
      </c>
      <c r="B141" s="52" t="s">
        <v>631</v>
      </c>
      <c r="W141" s="4">
        <v>1.0</v>
      </c>
    </row>
    <row r="142">
      <c r="A142" s="4" t="s">
        <v>57</v>
      </c>
      <c r="B142" s="52" t="s">
        <v>929</v>
      </c>
      <c r="G142" s="4">
        <v>1.0</v>
      </c>
    </row>
    <row r="143">
      <c r="A143" s="4" t="s">
        <v>57</v>
      </c>
      <c r="B143" s="52" t="s">
        <v>483</v>
      </c>
      <c r="G143" s="4">
        <v>1.0</v>
      </c>
      <c r="Q143" s="4">
        <v>1.0</v>
      </c>
      <c r="W143" s="4">
        <v>1.0</v>
      </c>
    </row>
    <row r="144">
      <c r="A144" s="4" t="s">
        <v>1348</v>
      </c>
      <c r="B144" s="52" t="s">
        <v>219</v>
      </c>
      <c r="M144" s="4">
        <v>1.0</v>
      </c>
    </row>
    <row r="145">
      <c r="A145" s="4" t="s">
        <v>1348</v>
      </c>
      <c r="B145" s="52" t="s">
        <v>220</v>
      </c>
      <c r="C145" s="4">
        <v>1.0</v>
      </c>
    </row>
    <row r="146">
      <c r="A146" s="4" t="s">
        <v>1348</v>
      </c>
      <c r="B146" s="52" t="s">
        <v>221</v>
      </c>
      <c r="M146" s="4">
        <v>1.0</v>
      </c>
    </row>
    <row r="147">
      <c r="A147" s="4" t="s">
        <v>1348</v>
      </c>
      <c r="B147" s="52" t="s">
        <v>222</v>
      </c>
      <c r="M147" s="4">
        <v>1.0</v>
      </c>
    </row>
    <row r="148">
      <c r="A148" s="4" t="s">
        <v>1348</v>
      </c>
      <c r="B148" s="52" t="s">
        <v>712</v>
      </c>
      <c r="C148" s="4">
        <v>1.0</v>
      </c>
      <c r="D148" s="4">
        <v>1.0</v>
      </c>
      <c r="E148" s="4">
        <v>1.0</v>
      </c>
      <c r="F148" s="4">
        <v>1.0</v>
      </c>
    </row>
    <row r="149">
      <c r="A149" s="4" t="s">
        <v>57</v>
      </c>
      <c r="B149" s="52" t="s">
        <v>715</v>
      </c>
      <c r="C149" s="4">
        <v>1.0</v>
      </c>
      <c r="D149" s="4">
        <v>1.0</v>
      </c>
      <c r="E149" s="4">
        <v>1.0</v>
      </c>
      <c r="F149" s="4">
        <v>1.0</v>
      </c>
    </row>
    <row r="150">
      <c r="A150" s="4" t="s">
        <v>57</v>
      </c>
      <c r="B150" s="52" t="s">
        <v>716</v>
      </c>
      <c r="D150" s="4">
        <v>1.0</v>
      </c>
      <c r="F150" s="4">
        <v>1.0</v>
      </c>
    </row>
    <row r="151">
      <c r="A151" s="4" t="s">
        <v>1348</v>
      </c>
      <c r="B151" s="52" t="s">
        <v>717</v>
      </c>
      <c r="C151" s="4">
        <v>1.0</v>
      </c>
      <c r="D151" s="4">
        <v>1.0</v>
      </c>
      <c r="F151" s="4">
        <v>1.0</v>
      </c>
    </row>
    <row r="152">
      <c r="A152" s="4" t="s">
        <v>57</v>
      </c>
      <c r="B152" s="52" t="s">
        <v>719</v>
      </c>
      <c r="D152" s="4">
        <v>1.0</v>
      </c>
      <c r="E152" s="4">
        <v>1.0</v>
      </c>
      <c r="F152" s="4">
        <v>1.0</v>
      </c>
    </row>
    <row r="153">
      <c r="A153" s="4" t="s">
        <v>57</v>
      </c>
      <c r="B153" s="52" t="s">
        <v>720</v>
      </c>
      <c r="D153" s="4">
        <v>1.0</v>
      </c>
    </row>
    <row r="154">
      <c r="A154" s="4" t="s">
        <v>57</v>
      </c>
      <c r="B154" s="52" t="s">
        <v>833</v>
      </c>
      <c r="D154" s="4">
        <v>1.0</v>
      </c>
    </row>
    <row r="155">
      <c r="A155" s="4" t="s">
        <v>57</v>
      </c>
      <c r="B155" s="52" t="s">
        <v>834</v>
      </c>
      <c r="D155" s="4">
        <v>1.0</v>
      </c>
    </row>
    <row r="156">
      <c r="A156" s="4" t="s">
        <v>57</v>
      </c>
      <c r="B156" s="52" t="s">
        <v>633</v>
      </c>
      <c r="Q156" s="4">
        <v>1.0</v>
      </c>
      <c r="S156" s="4">
        <v>6.0</v>
      </c>
    </row>
    <row r="157">
      <c r="A157" s="4" t="s">
        <v>57</v>
      </c>
      <c r="B157" s="52" t="s">
        <v>636</v>
      </c>
      <c r="C157" s="4">
        <v>1.0</v>
      </c>
      <c r="D157" s="4">
        <v>1.0</v>
      </c>
      <c r="G157" s="4">
        <v>1.0</v>
      </c>
      <c r="K157" s="4">
        <v>1.0</v>
      </c>
      <c r="W157" s="4">
        <v>1.0</v>
      </c>
    </row>
    <row r="158">
      <c r="A158" s="4" t="s">
        <v>57</v>
      </c>
      <c r="B158" s="52" t="s">
        <v>723</v>
      </c>
      <c r="D158" s="4">
        <v>1.0</v>
      </c>
      <c r="E158" s="4">
        <v>1.0</v>
      </c>
      <c r="G158" s="4">
        <v>1.0</v>
      </c>
    </row>
    <row r="159">
      <c r="A159" s="4" t="s">
        <v>57</v>
      </c>
      <c r="B159" s="52" t="s">
        <v>724</v>
      </c>
      <c r="D159" s="4">
        <v>1.0</v>
      </c>
      <c r="E159" s="4">
        <v>1.0</v>
      </c>
      <c r="G159" s="4">
        <v>1.0</v>
      </c>
    </row>
    <row r="160">
      <c r="A160" s="4" t="s">
        <v>57</v>
      </c>
      <c r="B160" s="52" t="s">
        <v>485</v>
      </c>
      <c r="K160" s="4">
        <v>1.0</v>
      </c>
    </row>
    <row r="161">
      <c r="A161" s="4" t="s">
        <v>57</v>
      </c>
      <c r="B161" s="52" t="s">
        <v>486</v>
      </c>
      <c r="D161" s="4">
        <v>1.0</v>
      </c>
      <c r="F161" s="4">
        <v>1.0</v>
      </c>
      <c r="G161" s="4">
        <v>6.0</v>
      </c>
      <c r="H161" s="4">
        <v>1.0</v>
      </c>
      <c r="Q161" s="4">
        <v>1.0</v>
      </c>
      <c r="T161" s="4">
        <v>1.0</v>
      </c>
      <c r="W161" s="4">
        <v>1.0</v>
      </c>
    </row>
    <row r="162">
      <c r="A162" s="4" t="s">
        <v>1348</v>
      </c>
      <c r="B162" s="52" t="s">
        <v>639</v>
      </c>
      <c r="E162" s="4">
        <v>1.0</v>
      </c>
    </row>
    <row r="163">
      <c r="A163" s="4" t="s">
        <v>1348</v>
      </c>
      <c r="B163" s="52" t="s">
        <v>930</v>
      </c>
      <c r="R163" s="4">
        <v>1.0</v>
      </c>
    </row>
    <row r="164">
      <c r="A164" s="4" t="s">
        <v>1348</v>
      </c>
      <c r="B164" s="52" t="s">
        <v>640</v>
      </c>
      <c r="F164" s="4">
        <v>2.0</v>
      </c>
    </row>
    <row r="165">
      <c r="A165" s="4" t="s">
        <v>1349</v>
      </c>
      <c r="B165" s="52" t="s">
        <v>489</v>
      </c>
      <c r="R165" s="4">
        <v>1.0</v>
      </c>
    </row>
    <row r="166">
      <c r="A166" s="4" t="s">
        <v>57</v>
      </c>
      <c r="B166" s="52" t="s">
        <v>490</v>
      </c>
      <c r="C166" s="4">
        <v>1.0</v>
      </c>
      <c r="D166" s="4">
        <v>1.0</v>
      </c>
      <c r="G166" s="4">
        <v>2.0</v>
      </c>
      <c r="K166" s="4">
        <v>1.0</v>
      </c>
      <c r="Q166" s="4">
        <v>5.0</v>
      </c>
      <c r="R166" s="4">
        <v>1.0</v>
      </c>
      <c r="T166" s="4">
        <v>1.0</v>
      </c>
    </row>
    <row r="167">
      <c r="A167" s="4" t="s">
        <v>57</v>
      </c>
      <c r="B167" s="52" t="s">
        <v>491</v>
      </c>
      <c r="D167" s="4">
        <v>1.0</v>
      </c>
      <c r="F167" s="4">
        <v>1.0</v>
      </c>
      <c r="G167" s="4">
        <v>2.0</v>
      </c>
      <c r="Q167" s="4">
        <v>4.0</v>
      </c>
      <c r="R167" s="4">
        <v>1.0</v>
      </c>
      <c r="T167" s="4">
        <v>1.0</v>
      </c>
      <c r="W167" s="4">
        <v>1.0</v>
      </c>
    </row>
    <row r="168">
      <c r="A168" s="4" t="s">
        <v>57</v>
      </c>
      <c r="B168" s="52" t="s">
        <v>492</v>
      </c>
      <c r="D168" s="4">
        <v>1.0</v>
      </c>
      <c r="F168" s="4">
        <v>3.0</v>
      </c>
      <c r="Q168" s="4">
        <v>1.0</v>
      </c>
      <c r="T168" s="4">
        <v>1.0</v>
      </c>
      <c r="W168" s="4">
        <v>1.0</v>
      </c>
    </row>
    <row r="169">
      <c r="A169" s="4" t="s">
        <v>57</v>
      </c>
      <c r="B169" s="52" t="s">
        <v>493</v>
      </c>
      <c r="D169" s="4">
        <v>1.0</v>
      </c>
      <c r="W169" s="4">
        <v>1.0</v>
      </c>
    </row>
    <row r="170">
      <c r="A170" s="4" t="s">
        <v>1348</v>
      </c>
      <c r="B170" s="52" t="s">
        <v>932</v>
      </c>
      <c r="R170" s="4">
        <v>1.0</v>
      </c>
    </row>
    <row r="171">
      <c r="A171" s="4" t="s">
        <v>57</v>
      </c>
      <c r="B171" s="52" t="s">
        <v>1435</v>
      </c>
      <c r="F171" s="4">
        <v>1.0</v>
      </c>
    </row>
    <row r="172">
      <c r="A172" s="4" t="s">
        <v>1349</v>
      </c>
      <c r="B172" s="52" t="s">
        <v>1367</v>
      </c>
      <c r="D172" s="4">
        <v>1.0</v>
      </c>
      <c r="E172" s="4">
        <v>1.0</v>
      </c>
      <c r="F172" s="4">
        <v>2.0</v>
      </c>
      <c r="G172" s="4">
        <v>1.0</v>
      </c>
      <c r="K172" s="4">
        <v>1.0</v>
      </c>
      <c r="V172" s="4">
        <v>1.0</v>
      </c>
    </row>
    <row r="173">
      <c r="A173" s="4" t="s">
        <v>57</v>
      </c>
      <c r="B173" s="52" t="s">
        <v>1368</v>
      </c>
      <c r="D173" s="4">
        <v>1.0</v>
      </c>
      <c r="E173" s="4">
        <v>1.0</v>
      </c>
      <c r="F173" s="4">
        <v>2.0</v>
      </c>
    </row>
    <row r="174">
      <c r="A174" s="4" t="s">
        <v>57</v>
      </c>
      <c r="B174" s="52" t="s">
        <v>494</v>
      </c>
      <c r="D174" s="4">
        <v>1.0</v>
      </c>
      <c r="G174" s="4">
        <v>1.0</v>
      </c>
      <c r="Q174" s="4">
        <v>1.0</v>
      </c>
      <c r="W174" s="4">
        <v>1.0</v>
      </c>
    </row>
    <row r="175">
      <c r="A175" s="4" t="s">
        <v>57</v>
      </c>
      <c r="B175" s="52" t="s">
        <v>495</v>
      </c>
      <c r="C175" s="4">
        <v>1.0</v>
      </c>
      <c r="D175" s="4">
        <v>2.0</v>
      </c>
      <c r="G175" s="4">
        <v>1.0</v>
      </c>
      <c r="Q175" s="4">
        <v>2.0</v>
      </c>
      <c r="W175" s="4">
        <v>1.0</v>
      </c>
    </row>
    <row r="176">
      <c r="A176" s="4" t="s">
        <v>1348</v>
      </c>
      <c r="B176" s="52" t="s">
        <v>237</v>
      </c>
      <c r="N176" s="4">
        <v>2.0</v>
      </c>
    </row>
    <row r="177">
      <c r="A177" s="4" t="s">
        <v>57</v>
      </c>
      <c r="B177" s="52" t="s">
        <v>496</v>
      </c>
      <c r="F177" s="4">
        <v>1.0</v>
      </c>
    </row>
    <row r="178">
      <c r="A178" s="4" t="s">
        <v>57</v>
      </c>
      <c r="B178" s="52" t="s">
        <v>647</v>
      </c>
      <c r="D178" s="4">
        <v>1.0</v>
      </c>
    </row>
    <row r="179">
      <c r="A179" s="4" t="s">
        <v>1348</v>
      </c>
      <c r="B179" s="52" t="s">
        <v>1061</v>
      </c>
      <c r="C179" s="4">
        <v>1.0</v>
      </c>
      <c r="G179" s="4">
        <v>1.0</v>
      </c>
    </row>
    <row r="180">
      <c r="A180" s="4" t="s">
        <v>1349</v>
      </c>
      <c r="B180" s="52" t="s">
        <v>894</v>
      </c>
      <c r="I180" s="4">
        <v>1.0</v>
      </c>
    </row>
    <row r="181">
      <c r="A181" s="4" t="s">
        <v>1348</v>
      </c>
      <c r="B181" s="52" t="s">
        <v>935</v>
      </c>
      <c r="F181" s="4">
        <v>1.0</v>
      </c>
    </row>
    <row r="182">
      <c r="A182" s="4" t="s">
        <v>1348</v>
      </c>
      <c r="B182" s="52" t="s">
        <v>936</v>
      </c>
      <c r="L182" s="4">
        <v>1.0</v>
      </c>
    </row>
    <row r="183">
      <c r="A183" s="4" t="s">
        <v>57</v>
      </c>
      <c r="B183" s="52" t="s">
        <v>649</v>
      </c>
      <c r="D183" s="4">
        <v>1.0</v>
      </c>
      <c r="G183" s="4">
        <v>1.0</v>
      </c>
      <c r="Q183" s="4">
        <v>1.0</v>
      </c>
      <c r="S183" s="4">
        <v>1.0</v>
      </c>
    </row>
    <row r="184">
      <c r="A184" s="4" t="s">
        <v>57</v>
      </c>
      <c r="B184" s="52" t="s">
        <v>1015</v>
      </c>
      <c r="D184" s="4">
        <v>1.0</v>
      </c>
    </row>
    <row r="185">
      <c r="A185" s="4" t="s">
        <v>57</v>
      </c>
      <c r="B185" s="52" t="s">
        <v>1016</v>
      </c>
      <c r="D185" s="4">
        <v>1.0</v>
      </c>
      <c r="I185" s="4"/>
    </row>
    <row r="186">
      <c r="A186" s="4" t="s">
        <v>57</v>
      </c>
      <c r="B186" s="52" t="s">
        <v>1017</v>
      </c>
      <c r="D186" s="4">
        <v>1.0</v>
      </c>
    </row>
    <row r="187">
      <c r="A187" s="4" t="s">
        <v>57</v>
      </c>
      <c r="B187" s="52" t="s">
        <v>1018</v>
      </c>
      <c r="D187" s="4">
        <v>1.0</v>
      </c>
    </row>
    <row r="188">
      <c r="A188" s="4" t="s">
        <v>57</v>
      </c>
      <c r="B188" s="52" t="s">
        <v>1019</v>
      </c>
      <c r="D188" s="4">
        <v>1.0</v>
      </c>
    </row>
    <row r="189">
      <c r="A189" s="4" t="s">
        <v>57</v>
      </c>
      <c r="B189" s="52" t="s">
        <v>650</v>
      </c>
      <c r="D189" s="4">
        <v>1.0</v>
      </c>
      <c r="E189" s="4">
        <v>1.0</v>
      </c>
    </row>
    <row r="190">
      <c r="A190" s="4" t="s">
        <v>57</v>
      </c>
      <c r="B190" s="52" t="s">
        <v>497</v>
      </c>
      <c r="C190" s="4">
        <v>2.0</v>
      </c>
      <c r="D190" s="4">
        <v>1.0</v>
      </c>
      <c r="E190" s="4">
        <v>1.0</v>
      </c>
      <c r="F190" s="4">
        <v>2.0</v>
      </c>
      <c r="G190" s="4">
        <v>1.0</v>
      </c>
      <c r="Q190" s="4">
        <v>1.0</v>
      </c>
      <c r="T190" s="4">
        <v>1.0</v>
      </c>
      <c r="W190" s="4">
        <v>1.0</v>
      </c>
      <c r="X190" s="4">
        <v>1.0</v>
      </c>
    </row>
    <row r="191">
      <c r="A191" s="4" t="s">
        <v>57</v>
      </c>
      <c r="B191" s="52" t="s">
        <v>654</v>
      </c>
      <c r="D191" s="4">
        <v>1.0</v>
      </c>
      <c r="E191" s="4">
        <v>1.0</v>
      </c>
      <c r="F191" s="4">
        <v>1.0</v>
      </c>
      <c r="T191" s="4">
        <v>1.0</v>
      </c>
      <c r="W191" s="4">
        <v>1.0</v>
      </c>
      <c r="X191" s="4">
        <v>1.0</v>
      </c>
    </row>
    <row r="192">
      <c r="A192" s="4" t="s">
        <v>57</v>
      </c>
      <c r="B192" s="52" t="s">
        <v>738</v>
      </c>
      <c r="E192" s="4">
        <v>1.0</v>
      </c>
    </row>
    <row r="193">
      <c r="A193" s="4" t="s">
        <v>57</v>
      </c>
      <c r="B193" s="52" t="s">
        <v>739</v>
      </c>
      <c r="E193" s="4">
        <v>1.0</v>
      </c>
    </row>
    <row r="194">
      <c r="A194" s="4" t="s">
        <v>1348</v>
      </c>
      <c r="B194" s="52" t="s">
        <v>742</v>
      </c>
      <c r="G194" s="4">
        <v>1.0</v>
      </c>
    </row>
    <row r="195">
      <c r="A195" s="4" t="s">
        <v>57</v>
      </c>
      <c r="B195" s="52" t="s">
        <v>743</v>
      </c>
      <c r="G195" s="4">
        <v>1.0</v>
      </c>
    </row>
    <row r="196">
      <c r="A196" s="4" t="s">
        <v>57</v>
      </c>
      <c r="B196" s="52" t="s">
        <v>746</v>
      </c>
      <c r="F196" s="4">
        <v>1.0</v>
      </c>
    </row>
    <row r="197">
      <c r="A197" s="4" t="s">
        <v>57</v>
      </c>
      <c r="B197" s="52" t="s">
        <v>747</v>
      </c>
      <c r="F197" s="4">
        <v>1.0</v>
      </c>
    </row>
    <row r="198">
      <c r="A198" s="4" t="s">
        <v>57</v>
      </c>
      <c r="B198" s="52" t="s">
        <v>498</v>
      </c>
      <c r="E198" s="4">
        <v>1.0</v>
      </c>
      <c r="F198" s="4">
        <v>1.0</v>
      </c>
      <c r="G198" s="4">
        <v>1.0</v>
      </c>
      <c r="H198" s="4">
        <v>1.0</v>
      </c>
      <c r="Q198" s="4">
        <v>1.0</v>
      </c>
      <c r="T198" s="4">
        <v>1.0</v>
      </c>
      <c r="W198" s="4">
        <v>1.0</v>
      </c>
      <c r="Y198" s="4">
        <v>1.0</v>
      </c>
    </row>
    <row r="199">
      <c r="A199" s="4" t="s">
        <v>57</v>
      </c>
      <c r="B199" s="52" t="s">
        <v>499</v>
      </c>
      <c r="D199" s="4">
        <v>1.0</v>
      </c>
      <c r="F199" s="4">
        <v>1.0</v>
      </c>
      <c r="G199" s="4">
        <v>1.0</v>
      </c>
      <c r="Q199" s="4"/>
      <c r="S199" s="4"/>
      <c r="T199" s="4">
        <v>1.0</v>
      </c>
      <c r="W199" s="4">
        <v>1.0</v>
      </c>
    </row>
    <row r="200">
      <c r="A200" s="4" t="s">
        <v>57</v>
      </c>
      <c r="B200" s="52" t="s">
        <v>500</v>
      </c>
      <c r="C200" s="4">
        <v>1.0</v>
      </c>
      <c r="D200" s="4">
        <v>1.0</v>
      </c>
      <c r="F200" s="4">
        <v>1.0</v>
      </c>
      <c r="G200" s="4">
        <v>1.0</v>
      </c>
      <c r="H200" s="4">
        <v>1.0</v>
      </c>
      <c r="T200" s="4">
        <v>1.0</v>
      </c>
      <c r="W200" s="4">
        <v>1.0</v>
      </c>
    </row>
    <row r="201">
      <c r="A201" s="4" t="s">
        <v>57</v>
      </c>
      <c r="B201" s="52" t="s">
        <v>501</v>
      </c>
      <c r="C201" s="4">
        <v>1.0</v>
      </c>
      <c r="D201" s="4">
        <v>1.0</v>
      </c>
      <c r="G201" s="4">
        <v>1.0</v>
      </c>
      <c r="Q201" s="4">
        <v>1.0</v>
      </c>
      <c r="S201" s="4">
        <v>1.0</v>
      </c>
    </row>
    <row r="202">
      <c r="A202" s="4" t="s">
        <v>1348</v>
      </c>
      <c r="B202" s="52" t="s">
        <v>503</v>
      </c>
      <c r="W202" s="4">
        <v>1.0</v>
      </c>
    </row>
    <row r="203">
      <c r="A203" s="4" t="s">
        <v>1348</v>
      </c>
      <c r="B203" s="52" t="s">
        <v>320</v>
      </c>
      <c r="D203" s="4">
        <v>1.0</v>
      </c>
    </row>
    <row r="204">
      <c r="A204" s="4" t="s">
        <v>57</v>
      </c>
      <c r="B204" s="52" t="s">
        <v>321</v>
      </c>
      <c r="D204" s="4">
        <v>1.0</v>
      </c>
    </row>
    <row r="205">
      <c r="A205" s="4" t="s">
        <v>57</v>
      </c>
      <c r="B205" s="52" t="s">
        <v>656</v>
      </c>
      <c r="C205" s="4">
        <v>1.0</v>
      </c>
      <c r="F205" s="4">
        <v>5.0</v>
      </c>
      <c r="G205" s="4">
        <v>1.0</v>
      </c>
      <c r="H205" s="4">
        <v>1.0</v>
      </c>
    </row>
    <row r="206">
      <c r="A206" s="4" t="s">
        <v>57</v>
      </c>
      <c r="B206" s="52" t="s">
        <v>504</v>
      </c>
      <c r="C206" s="4">
        <v>1.0</v>
      </c>
      <c r="D206" s="4">
        <v>1.0</v>
      </c>
      <c r="E206" s="4">
        <v>2.0</v>
      </c>
      <c r="F206" s="4">
        <v>1.0</v>
      </c>
      <c r="G206" s="4">
        <v>1.0</v>
      </c>
      <c r="Q206" s="4">
        <v>1.0</v>
      </c>
      <c r="R206" s="4">
        <v>1.0</v>
      </c>
      <c r="T206" s="4">
        <v>1.0</v>
      </c>
      <c r="W206" s="4">
        <v>2.0</v>
      </c>
    </row>
    <row r="207">
      <c r="A207" s="4" t="s">
        <v>57</v>
      </c>
      <c r="B207" s="52" t="s">
        <v>505</v>
      </c>
      <c r="C207" s="4">
        <v>1.0</v>
      </c>
      <c r="D207" s="4">
        <v>1.0</v>
      </c>
      <c r="E207" s="4">
        <v>1.0</v>
      </c>
      <c r="F207" s="4">
        <v>1.0</v>
      </c>
      <c r="G207" s="4">
        <v>1.0</v>
      </c>
      <c r="Q207" s="4">
        <v>1.0</v>
      </c>
      <c r="T207" s="4">
        <v>1.0</v>
      </c>
      <c r="W207" s="4">
        <v>1.0</v>
      </c>
    </row>
    <row r="208">
      <c r="A208" s="4" t="s">
        <v>57</v>
      </c>
      <c r="B208" s="52" t="s">
        <v>506</v>
      </c>
      <c r="D208" s="4">
        <v>1.0</v>
      </c>
      <c r="E208" s="4">
        <v>1.0</v>
      </c>
      <c r="F208" s="4">
        <v>1.0</v>
      </c>
      <c r="G208" s="4">
        <v>1.0</v>
      </c>
      <c r="Q208" s="4">
        <v>1.0</v>
      </c>
      <c r="T208" s="4">
        <v>1.0</v>
      </c>
      <c r="W208" s="4">
        <v>1.0</v>
      </c>
    </row>
    <row r="209">
      <c r="A209" s="4" t="s">
        <v>57</v>
      </c>
      <c r="B209" s="52" t="s">
        <v>1370</v>
      </c>
      <c r="C209" s="4">
        <v>1.0</v>
      </c>
      <c r="D209" s="4">
        <v>1.0</v>
      </c>
    </row>
    <row r="210">
      <c r="A210" s="4" t="s">
        <v>57</v>
      </c>
      <c r="B210" s="52" t="s">
        <v>1371</v>
      </c>
      <c r="E210" s="4">
        <v>1.0</v>
      </c>
    </row>
    <row r="211">
      <c r="A211" s="4" t="s">
        <v>57</v>
      </c>
      <c r="B211" s="52" t="s">
        <v>661</v>
      </c>
      <c r="E211" s="4">
        <v>1.0</v>
      </c>
    </row>
    <row r="212">
      <c r="A212" s="4" t="s">
        <v>57</v>
      </c>
      <c r="B212" s="52" t="s">
        <v>507</v>
      </c>
      <c r="D212" s="4">
        <v>1.0</v>
      </c>
      <c r="E212" s="4">
        <v>1.0</v>
      </c>
      <c r="F212" s="4">
        <v>1.0</v>
      </c>
      <c r="G212" s="4">
        <v>1.0</v>
      </c>
      <c r="Q212" s="4">
        <v>1.0</v>
      </c>
      <c r="W212" s="4">
        <v>1.0</v>
      </c>
    </row>
    <row r="213">
      <c r="A213" s="4" t="s">
        <v>57</v>
      </c>
      <c r="B213" s="52" t="s">
        <v>663</v>
      </c>
      <c r="D213" s="4">
        <v>1.0</v>
      </c>
    </row>
    <row r="214">
      <c r="A214" s="4" t="s">
        <v>1348</v>
      </c>
      <c r="B214" s="52" t="s">
        <v>384</v>
      </c>
      <c r="F214" s="4">
        <v>1.0</v>
      </c>
      <c r="G214" s="4">
        <v>1.0</v>
      </c>
    </row>
    <row r="215">
      <c r="A215" s="4" t="s">
        <v>57</v>
      </c>
      <c r="B215" s="52" t="s">
        <v>389</v>
      </c>
      <c r="F215" s="4">
        <v>1.0</v>
      </c>
      <c r="G215" s="4">
        <v>1.0</v>
      </c>
    </row>
    <row r="216">
      <c r="A216" s="4" t="s">
        <v>1348</v>
      </c>
      <c r="B216" s="52" t="s">
        <v>392</v>
      </c>
      <c r="L216" s="4">
        <v>4.0</v>
      </c>
    </row>
    <row r="217">
      <c r="A217" s="4" t="s">
        <v>1348</v>
      </c>
      <c r="B217" s="52" t="s">
        <v>404</v>
      </c>
      <c r="K217" s="4">
        <v>2.0</v>
      </c>
    </row>
    <row r="218">
      <c r="A218" s="4" t="s">
        <v>1348</v>
      </c>
      <c r="B218" s="52" t="s">
        <v>405</v>
      </c>
      <c r="Q218" s="4">
        <v>3.0</v>
      </c>
    </row>
    <row r="219">
      <c r="A219" s="4" t="s">
        <v>1348</v>
      </c>
      <c r="B219" s="52" t="s">
        <v>406</v>
      </c>
      <c r="K219" s="4">
        <v>2.0</v>
      </c>
    </row>
    <row r="220">
      <c r="A220" s="4" t="s">
        <v>57</v>
      </c>
      <c r="B220" s="52" t="s">
        <v>1279</v>
      </c>
      <c r="T220" s="4">
        <v>1.0</v>
      </c>
    </row>
    <row r="221">
      <c r="A221" s="4" t="s">
        <v>57</v>
      </c>
      <c r="B221" s="52" t="s">
        <v>1280</v>
      </c>
      <c r="D221" s="4">
        <v>1.0</v>
      </c>
      <c r="F221" s="4">
        <v>1.0</v>
      </c>
      <c r="T221" s="4">
        <v>1.0</v>
      </c>
    </row>
    <row r="222">
      <c r="A222" s="4" t="s">
        <v>1349</v>
      </c>
      <c r="B222" s="52" t="s">
        <v>1281</v>
      </c>
      <c r="G222" s="4">
        <v>1.0</v>
      </c>
    </row>
    <row r="223">
      <c r="A223" s="4" t="s">
        <v>57</v>
      </c>
      <c r="B223" s="52" t="s">
        <v>1436</v>
      </c>
      <c r="T223" s="4">
        <v>1.0</v>
      </c>
    </row>
    <row r="224">
      <c r="A224" s="4" t="s">
        <v>57</v>
      </c>
      <c r="B224" s="52" t="s">
        <v>1285</v>
      </c>
      <c r="F224" s="4">
        <v>1.0</v>
      </c>
    </row>
    <row r="225">
      <c r="A225" s="4" t="s">
        <v>57</v>
      </c>
      <c r="B225" s="52" t="s">
        <v>1288</v>
      </c>
      <c r="X225" s="4">
        <v>1.0</v>
      </c>
    </row>
    <row r="226">
      <c r="A226" s="4" t="s">
        <v>57</v>
      </c>
      <c r="B226" s="52" t="s">
        <v>1437</v>
      </c>
      <c r="X226" s="4">
        <v>1.0</v>
      </c>
    </row>
    <row r="227">
      <c r="A227" s="4" t="s">
        <v>57</v>
      </c>
      <c r="B227" s="52" t="s">
        <v>1291</v>
      </c>
      <c r="F227" s="4">
        <v>1.0</v>
      </c>
    </row>
    <row r="228">
      <c r="A228" s="4" t="s">
        <v>57</v>
      </c>
      <c r="B228" s="52" t="s">
        <v>1292</v>
      </c>
      <c r="C228" s="4">
        <v>1.0</v>
      </c>
    </row>
    <row r="229">
      <c r="A229" s="4" t="s">
        <v>1348</v>
      </c>
      <c r="B229" s="52" t="s">
        <v>1025</v>
      </c>
      <c r="M229" s="4">
        <v>1.0</v>
      </c>
    </row>
    <row r="230">
      <c r="A230" s="4" t="s">
        <v>1348</v>
      </c>
      <c r="B230" s="52" t="s">
        <v>1026</v>
      </c>
      <c r="U230" s="4">
        <v>2.0</v>
      </c>
    </row>
    <row r="231">
      <c r="A231" s="4" t="s">
        <v>1348</v>
      </c>
      <c r="B231" s="52" t="s">
        <v>1027</v>
      </c>
      <c r="M231" s="4">
        <v>1.0</v>
      </c>
    </row>
    <row r="232">
      <c r="A232" s="4" t="s">
        <v>1348</v>
      </c>
      <c r="B232" s="52" t="s">
        <v>1028</v>
      </c>
      <c r="M232" s="4">
        <v>2.0</v>
      </c>
    </row>
    <row r="233">
      <c r="A233" s="4" t="s">
        <v>1348</v>
      </c>
      <c r="B233" s="52" t="s">
        <v>1029</v>
      </c>
      <c r="T233" s="4">
        <v>1.0</v>
      </c>
    </row>
    <row r="234">
      <c r="A234" s="4" t="s">
        <v>1348</v>
      </c>
      <c r="B234" s="52" t="s">
        <v>1030</v>
      </c>
      <c r="M234" s="4">
        <v>2.0</v>
      </c>
    </row>
    <row r="235">
      <c r="A235" s="4" t="s">
        <v>1348</v>
      </c>
      <c r="B235" s="52" t="s">
        <v>1031</v>
      </c>
      <c r="M235" s="4">
        <v>1.0</v>
      </c>
    </row>
    <row r="236">
      <c r="A236" s="4" t="s">
        <v>1348</v>
      </c>
      <c r="B236" s="52" t="s">
        <v>1034</v>
      </c>
      <c r="M236" s="4">
        <v>2.0</v>
      </c>
    </row>
    <row r="237">
      <c r="A237" s="4" t="s">
        <v>1348</v>
      </c>
      <c r="B237" s="52" t="s">
        <v>1039</v>
      </c>
      <c r="M237" s="4">
        <v>1.0</v>
      </c>
    </row>
    <row r="238">
      <c r="A238" s="4" t="s">
        <v>57</v>
      </c>
      <c r="B238" s="52" t="s">
        <v>367</v>
      </c>
      <c r="C238" s="4">
        <v>1.0</v>
      </c>
    </row>
    <row r="239">
      <c r="A239" s="4" t="s">
        <v>57</v>
      </c>
      <c r="B239" s="52" t="s">
        <v>368</v>
      </c>
      <c r="C239" s="4">
        <v>1.0</v>
      </c>
    </row>
    <row r="240">
      <c r="A240" s="4" t="s">
        <v>57</v>
      </c>
      <c r="B240" s="52" t="s">
        <v>369</v>
      </c>
      <c r="C240" s="4">
        <v>3.0</v>
      </c>
    </row>
    <row r="241">
      <c r="A241" s="4" t="s">
        <v>57</v>
      </c>
      <c r="B241" s="52" t="s">
        <v>370</v>
      </c>
      <c r="C241" s="4">
        <v>2.0</v>
      </c>
    </row>
    <row r="242">
      <c r="A242" s="4" t="s">
        <v>57</v>
      </c>
      <c r="B242" s="52" t="s">
        <v>371</v>
      </c>
      <c r="C242" s="4">
        <v>1.0</v>
      </c>
    </row>
    <row r="243">
      <c r="A243" s="4" t="s">
        <v>57</v>
      </c>
      <c r="B243" s="52" t="s">
        <v>372</v>
      </c>
      <c r="C243" s="4">
        <v>1.0</v>
      </c>
    </row>
    <row r="244">
      <c r="A244" s="4" t="s">
        <v>57</v>
      </c>
      <c r="B244" s="52" t="s">
        <v>373</v>
      </c>
      <c r="C244" s="4">
        <v>2.0</v>
      </c>
    </row>
    <row r="245">
      <c r="A245" s="4" t="s">
        <v>57</v>
      </c>
      <c r="B245" s="52" t="s">
        <v>374</v>
      </c>
      <c r="C245" s="4">
        <v>1.0</v>
      </c>
    </row>
    <row r="246">
      <c r="A246" s="4" t="s">
        <v>57</v>
      </c>
      <c r="B246" s="52" t="s">
        <v>375</v>
      </c>
      <c r="C246" s="4">
        <v>4.0</v>
      </c>
    </row>
    <row r="247">
      <c r="A247" s="4" t="s">
        <v>57</v>
      </c>
      <c r="B247" s="52" t="s">
        <v>509</v>
      </c>
      <c r="D247" s="4">
        <v>1.0</v>
      </c>
      <c r="W247" s="4">
        <v>1.0</v>
      </c>
    </row>
    <row r="248">
      <c r="A248" s="4" t="s">
        <v>1348</v>
      </c>
      <c r="B248" s="52" t="s">
        <v>1438</v>
      </c>
      <c r="M248" s="4">
        <v>2.0</v>
      </c>
    </row>
    <row r="249">
      <c r="A249" s="4" t="s">
        <v>57</v>
      </c>
      <c r="B249" s="52" t="s">
        <v>840</v>
      </c>
      <c r="T249" s="4">
        <v>1.0</v>
      </c>
      <c r="W249" s="4">
        <v>1.0</v>
      </c>
      <c r="X249" s="4">
        <v>1.0</v>
      </c>
    </row>
    <row r="250">
      <c r="A250" s="4" t="s">
        <v>57</v>
      </c>
      <c r="B250" s="52" t="s">
        <v>841</v>
      </c>
      <c r="T250" s="4">
        <v>1.0</v>
      </c>
      <c r="W250" s="4">
        <v>1.0</v>
      </c>
    </row>
    <row r="251">
      <c r="A251" s="4" t="s">
        <v>57</v>
      </c>
      <c r="B251" s="52" t="s">
        <v>842</v>
      </c>
      <c r="T251" s="4">
        <v>1.0</v>
      </c>
      <c r="W251" s="4">
        <v>1.0</v>
      </c>
    </row>
    <row r="252">
      <c r="A252" s="4" t="s">
        <v>57</v>
      </c>
      <c r="B252" s="52" t="s">
        <v>1439</v>
      </c>
      <c r="T252" s="4">
        <v>1.0</v>
      </c>
    </row>
    <row r="253">
      <c r="A253" s="4" t="s">
        <v>57</v>
      </c>
      <c r="B253" s="52" t="s">
        <v>1440</v>
      </c>
      <c r="F253" s="4">
        <v>1.0</v>
      </c>
      <c r="T253" s="4">
        <v>1.0</v>
      </c>
      <c r="W253" s="4">
        <v>1.0</v>
      </c>
    </row>
    <row r="254">
      <c r="A254" s="4" t="s">
        <v>57</v>
      </c>
      <c r="B254" s="52" t="s">
        <v>845</v>
      </c>
      <c r="F254" s="4">
        <v>1.0</v>
      </c>
      <c r="G254" s="4">
        <v>1.0</v>
      </c>
      <c r="W254" s="4">
        <v>1.0</v>
      </c>
    </row>
    <row r="255">
      <c r="A255" s="4" t="s">
        <v>57</v>
      </c>
      <c r="B255" s="52" t="s">
        <v>847</v>
      </c>
      <c r="W255" s="4">
        <v>1.0</v>
      </c>
      <c r="X255" s="4">
        <v>1.0</v>
      </c>
    </row>
    <row r="256">
      <c r="A256" s="4" t="s">
        <v>57</v>
      </c>
      <c r="B256" s="52" t="s">
        <v>848</v>
      </c>
      <c r="E256" s="4">
        <v>1.0</v>
      </c>
      <c r="F256" s="4">
        <v>1.0</v>
      </c>
      <c r="T256" s="4">
        <v>1.0</v>
      </c>
      <c r="W256" s="4">
        <v>1.0</v>
      </c>
    </row>
    <row r="257">
      <c r="A257" s="4" t="s">
        <v>57</v>
      </c>
      <c r="B257" s="52" t="s">
        <v>1441</v>
      </c>
      <c r="F257" s="4">
        <v>1.0</v>
      </c>
      <c r="T257" s="4">
        <v>1.0</v>
      </c>
      <c r="W257" s="4">
        <v>1.0</v>
      </c>
    </row>
    <row r="258">
      <c r="A258" s="4" t="s">
        <v>1348</v>
      </c>
      <c r="B258" s="52" t="s">
        <v>511</v>
      </c>
      <c r="W258" s="4">
        <v>1.0</v>
      </c>
    </row>
    <row r="259">
      <c r="A259" s="4" t="s">
        <v>1348</v>
      </c>
      <c r="B259" s="52" t="s">
        <v>513</v>
      </c>
      <c r="K259" s="4">
        <v>1.0</v>
      </c>
      <c r="Q259" s="4">
        <v>1.0</v>
      </c>
    </row>
    <row r="260">
      <c r="A260" s="4" t="s">
        <v>1348</v>
      </c>
      <c r="B260" s="52" t="s">
        <v>672</v>
      </c>
      <c r="K260" s="4">
        <v>1.0</v>
      </c>
    </row>
    <row r="261">
      <c r="A261" s="4" t="s">
        <v>57</v>
      </c>
      <c r="B261" s="52" t="s">
        <v>877</v>
      </c>
      <c r="T261" s="4">
        <v>1.0</v>
      </c>
    </row>
    <row r="262">
      <c r="A262" s="4" t="s">
        <v>57</v>
      </c>
      <c r="B262" s="52" t="s">
        <v>752</v>
      </c>
      <c r="G262" s="4">
        <v>1.0</v>
      </c>
      <c r="Q262" s="4">
        <v>1.0</v>
      </c>
    </row>
    <row r="263">
      <c r="A263" s="4" t="s">
        <v>1349</v>
      </c>
      <c r="B263" s="52" t="s">
        <v>754</v>
      </c>
      <c r="G263" s="4">
        <v>1.0</v>
      </c>
      <c r="Q263" s="4">
        <v>1.0</v>
      </c>
    </row>
    <row r="264">
      <c r="A264" s="4" t="s">
        <v>57</v>
      </c>
      <c r="B264" s="52" t="s">
        <v>852</v>
      </c>
      <c r="G264" s="4">
        <v>1.0</v>
      </c>
    </row>
    <row r="265">
      <c r="A265" s="4" t="s">
        <v>57</v>
      </c>
      <c r="B265" s="52" t="s">
        <v>673</v>
      </c>
      <c r="G265" s="4">
        <v>1.0</v>
      </c>
    </row>
    <row r="266">
      <c r="A266" s="4" t="s">
        <v>1348</v>
      </c>
      <c r="B266" s="52" t="s">
        <v>937</v>
      </c>
      <c r="Q266" s="4">
        <v>1.0</v>
      </c>
    </row>
    <row r="267">
      <c r="A267" s="4" t="s">
        <v>57</v>
      </c>
      <c r="B267" s="52" t="s">
        <v>870</v>
      </c>
      <c r="E267" s="4">
        <v>1.0</v>
      </c>
    </row>
    <row r="268">
      <c r="A268" s="4" t="s">
        <v>57</v>
      </c>
      <c r="B268" s="52" t="s">
        <v>871</v>
      </c>
      <c r="E268" s="4">
        <v>1.0</v>
      </c>
    </row>
    <row r="269">
      <c r="A269" s="4" t="s">
        <v>1348</v>
      </c>
      <c r="B269" s="52" t="s">
        <v>1040</v>
      </c>
      <c r="G269" s="4">
        <v>9.0</v>
      </c>
    </row>
    <row r="270">
      <c r="A270" s="4" t="s">
        <v>1348</v>
      </c>
      <c r="B270" s="52" t="s">
        <v>1041</v>
      </c>
      <c r="C270" s="4">
        <v>1.0</v>
      </c>
      <c r="D270" s="4">
        <v>1.0</v>
      </c>
    </row>
    <row r="271">
      <c r="A271" s="4" t="s">
        <v>1348</v>
      </c>
      <c r="B271" s="52" t="s">
        <v>1045</v>
      </c>
      <c r="K271" s="4">
        <v>4.0</v>
      </c>
    </row>
    <row r="272">
      <c r="A272" s="4" t="s">
        <v>1348</v>
      </c>
      <c r="B272" s="52" t="s">
        <v>1046</v>
      </c>
      <c r="C272" s="4">
        <v>1.0</v>
      </c>
      <c r="D272" s="4">
        <v>1.0</v>
      </c>
    </row>
    <row r="273">
      <c r="A273" s="4" t="s">
        <v>1348</v>
      </c>
      <c r="B273" s="52" t="s">
        <v>1048</v>
      </c>
      <c r="K273" s="4">
        <v>4.0</v>
      </c>
    </row>
    <row r="274">
      <c r="A274" s="4" t="s">
        <v>1349</v>
      </c>
      <c r="B274" s="52" t="s">
        <v>519</v>
      </c>
      <c r="G274" s="4">
        <v>1.0</v>
      </c>
      <c r="W274" s="4">
        <v>1.0</v>
      </c>
    </row>
    <row r="275">
      <c r="A275" s="4" t="s">
        <v>57</v>
      </c>
      <c r="B275" s="52" t="s">
        <v>854</v>
      </c>
      <c r="G275" s="4">
        <v>1.0</v>
      </c>
    </row>
    <row r="276">
      <c r="A276" s="4" t="s">
        <v>57</v>
      </c>
      <c r="B276" s="52" t="s">
        <v>520</v>
      </c>
      <c r="C276" s="4">
        <v>1.0</v>
      </c>
      <c r="D276" s="4">
        <v>1.0</v>
      </c>
      <c r="G276" s="4">
        <v>3.0</v>
      </c>
      <c r="K276" s="4">
        <v>1.0</v>
      </c>
      <c r="O276" s="4">
        <v>1.0</v>
      </c>
      <c r="Q276" s="4">
        <v>1.0</v>
      </c>
      <c r="R276" s="4">
        <v>1.0</v>
      </c>
      <c r="W276" s="4">
        <v>1.0</v>
      </c>
    </row>
    <row r="277">
      <c r="A277" s="4" t="s">
        <v>57</v>
      </c>
      <c r="B277" s="52" t="s">
        <v>521</v>
      </c>
      <c r="D277" s="4">
        <v>1.0</v>
      </c>
      <c r="F277" s="4">
        <v>1.0</v>
      </c>
      <c r="G277" s="4">
        <v>1.0</v>
      </c>
      <c r="Q277" s="4">
        <v>1.0</v>
      </c>
      <c r="S277" s="4">
        <v>1.0</v>
      </c>
      <c r="T277" s="4">
        <v>2.0</v>
      </c>
      <c r="W277" s="4">
        <v>10.0</v>
      </c>
      <c r="X277" s="4">
        <v>3.0</v>
      </c>
    </row>
    <row r="278">
      <c r="A278" s="4" t="s">
        <v>57</v>
      </c>
      <c r="B278" s="52" t="s">
        <v>522</v>
      </c>
      <c r="C278" s="4">
        <v>1.0</v>
      </c>
      <c r="D278" s="4">
        <v>1.0</v>
      </c>
      <c r="E278" s="4">
        <v>1.0</v>
      </c>
      <c r="F278" s="4">
        <v>1.0</v>
      </c>
      <c r="G278" s="4">
        <v>1.0</v>
      </c>
      <c r="Q278" s="4">
        <v>1.0</v>
      </c>
      <c r="R278" s="4">
        <v>1.0</v>
      </c>
      <c r="S278" s="4">
        <v>1.0</v>
      </c>
      <c r="T278" s="4">
        <v>1.0</v>
      </c>
      <c r="W278" s="4">
        <v>3.0</v>
      </c>
      <c r="X278" s="4">
        <v>1.0</v>
      </c>
    </row>
    <row r="279">
      <c r="A279" s="4" t="s">
        <v>57</v>
      </c>
      <c r="B279" s="52" t="s">
        <v>307</v>
      </c>
      <c r="C279" s="4">
        <v>1.0</v>
      </c>
    </row>
    <row r="280">
      <c r="A280" s="4" t="s">
        <v>57</v>
      </c>
      <c r="B280" s="52" t="s">
        <v>675</v>
      </c>
      <c r="G280" s="4">
        <v>1.0</v>
      </c>
    </row>
    <row r="281">
      <c r="A281" s="4" t="s">
        <v>1348</v>
      </c>
      <c r="B281" s="52" t="s">
        <v>523</v>
      </c>
      <c r="K281" s="4">
        <v>66.0</v>
      </c>
    </row>
    <row r="282">
      <c r="A282" s="4" t="s">
        <v>1349</v>
      </c>
      <c r="B282" s="52" t="s">
        <v>524</v>
      </c>
      <c r="D282" s="4">
        <v>1.0</v>
      </c>
      <c r="E282" s="4">
        <v>1.0</v>
      </c>
      <c r="F282" s="4">
        <v>1.0</v>
      </c>
      <c r="G282" s="4">
        <v>1.0</v>
      </c>
      <c r="R282" s="4">
        <v>1.0</v>
      </c>
      <c r="T282" s="4">
        <v>1.0</v>
      </c>
    </row>
    <row r="283">
      <c r="A283" s="4" t="s">
        <v>57</v>
      </c>
      <c r="B283" s="52" t="s">
        <v>886</v>
      </c>
      <c r="C283" s="4">
        <v>1.0</v>
      </c>
    </row>
    <row r="284">
      <c r="A284" s="4" t="s">
        <v>57</v>
      </c>
      <c r="B284" s="52" t="s">
        <v>887</v>
      </c>
      <c r="C284" s="4">
        <v>1.0</v>
      </c>
    </row>
    <row r="285">
      <c r="A285" s="4" t="s">
        <v>57</v>
      </c>
      <c r="B285" s="52" t="s">
        <v>888</v>
      </c>
      <c r="C285" s="4">
        <v>1.0</v>
      </c>
    </row>
    <row r="286">
      <c r="A286" s="4" t="s">
        <v>57</v>
      </c>
      <c r="B286" s="52" t="s">
        <v>889</v>
      </c>
      <c r="C286" s="4">
        <v>1.0</v>
      </c>
    </row>
    <row r="287">
      <c r="A287" s="4" t="s">
        <v>57</v>
      </c>
      <c r="B287" s="52" t="s">
        <v>1372</v>
      </c>
      <c r="F287" s="4">
        <v>1.0</v>
      </c>
      <c r="G287" s="4">
        <v>1.0</v>
      </c>
      <c r="T287" s="4">
        <v>1.0</v>
      </c>
    </row>
    <row r="288">
      <c r="A288" s="4" t="s">
        <v>57</v>
      </c>
      <c r="B288" s="52" t="s">
        <v>678</v>
      </c>
      <c r="T288" s="4">
        <v>1.0</v>
      </c>
    </row>
    <row r="289">
      <c r="A289" s="4" t="s">
        <v>1348</v>
      </c>
      <c r="B289" s="52" t="s">
        <v>528</v>
      </c>
      <c r="K289" s="4">
        <v>12.0</v>
      </c>
    </row>
    <row r="290">
      <c r="A290" s="4" t="s">
        <v>1348</v>
      </c>
      <c r="B290" s="52" t="s">
        <v>535</v>
      </c>
      <c r="T290" s="4">
        <v>1.0</v>
      </c>
    </row>
    <row r="291">
      <c r="A291" s="4" t="s">
        <v>1348</v>
      </c>
      <c r="B291" s="52" t="s">
        <v>537</v>
      </c>
      <c r="K291" s="4">
        <v>1.0</v>
      </c>
    </row>
    <row r="292">
      <c r="A292" s="4" t="s">
        <v>57</v>
      </c>
      <c r="B292" s="52" t="s">
        <v>576</v>
      </c>
      <c r="C292" s="4">
        <v>1.0</v>
      </c>
      <c r="D292" s="4">
        <v>1.0</v>
      </c>
      <c r="F292" s="4">
        <v>1.0</v>
      </c>
      <c r="G292" s="4">
        <v>3.0</v>
      </c>
      <c r="K292" s="4">
        <v>1.0</v>
      </c>
      <c r="O292" s="4">
        <v>1.0</v>
      </c>
      <c r="Q292" s="4">
        <v>3.0</v>
      </c>
      <c r="T292" s="4">
        <v>1.0</v>
      </c>
    </row>
    <row r="293">
      <c r="A293" s="4" t="s">
        <v>1349</v>
      </c>
      <c r="B293" s="52" t="s">
        <v>1373</v>
      </c>
      <c r="C293" s="4">
        <v>1.0</v>
      </c>
    </row>
    <row r="294">
      <c r="A294" s="4" t="s">
        <v>1349</v>
      </c>
      <c r="B294" s="52" t="s">
        <v>1374</v>
      </c>
      <c r="Q294" s="4">
        <v>1.0</v>
      </c>
    </row>
    <row r="295">
      <c r="A295" s="4" t="s">
        <v>1349</v>
      </c>
      <c r="B295" s="52" t="s">
        <v>1375</v>
      </c>
      <c r="I295" s="4">
        <v>2.0</v>
      </c>
    </row>
    <row r="296">
      <c r="A296" s="4" t="s">
        <v>1349</v>
      </c>
      <c r="B296" s="52" t="s">
        <v>938</v>
      </c>
      <c r="C296" s="4">
        <v>1.0</v>
      </c>
    </row>
    <row r="297">
      <c r="A297" s="4" t="s">
        <v>1349</v>
      </c>
      <c r="B297" s="52" t="s">
        <v>939</v>
      </c>
      <c r="V297" s="4">
        <v>1.0</v>
      </c>
    </row>
    <row r="298">
      <c r="A298" s="4" t="s">
        <v>1349</v>
      </c>
      <c r="B298" s="52" t="s">
        <v>942</v>
      </c>
      <c r="V298" s="4">
        <v>1.0</v>
      </c>
    </row>
    <row r="299">
      <c r="A299" s="4" t="s">
        <v>1349</v>
      </c>
      <c r="B299" s="52" t="s">
        <v>943</v>
      </c>
      <c r="G299" s="4">
        <v>1.0</v>
      </c>
    </row>
    <row r="300">
      <c r="A300" s="4" t="s">
        <v>1349</v>
      </c>
      <c r="B300" s="52" t="s">
        <v>944</v>
      </c>
      <c r="F300" s="4">
        <v>4.0</v>
      </c>
      <c r="H300" s="4">
        <v>4.0</v>
      </c>
    </row>
    <row r="301">
      <c r="A301" s="4" t="s">
        <v>1349</v>
      </c>
      <c r="B301" s="52" t="s">
        <v>955</v>
      </c>
      <c r="X301" s="4">
        <v>3.0</v>
      </c>
    </row>
    <row r="302">
      <c r="A302" s="4" t="s">
        <v>1349</v>
      </c>
      <c r="B302" s="52" t="s">
        <v>967</v>
      </c>
      <c r="K302" s="4">
        <v>1.0</v>
      </c>
    </row>
    <row r="303">
      <c r="A303" s="4" t="s">
        <v>1349</v>
      </c>
      <c r="B303" s="52" t="s">
        <v>968</v>
      </c>
      <c r="Y303" s="4">
        <v>1.0</v>
      </c>
    </row>
    <row r="304">
      <c r="A304" s="4" t="s">
        <v>1349</v>
      </c>
      <c r="B304" s="52" t="s">
        <v>975</v>
      </c>
      <c r="G304" s="4">
        <v>1.0</v>
      </c>
    </row>
    <row r="305">
      <c r="A305" s="4" t="s">
        <v>1349</v>
      </c>
      <c r="B305" s="52" t="s">
        <v>976</v>
      </c>
      <c r="Y305" s="4">
        <v>2.0</v>
      </c>
    </row>
    <row r="306">
      <c r="A306" s="4" t="s">
        <v>57</v>
      </c>
      <c r="B306" s="52" t="s">
        <v>904</v>
      </c>
      <c r="Q306" s="4">
        <v>1.0</v>
      </c>
    </row>
    <row r="307">
      <c r="A307" s="4" t="s">
        <v>57</v>
      </c>
      <c r="B307" s="52" t="s">
        <v>907</v>
      </c>
      <c r="Q307" s="4">
        <v>1.0</v>
      </c>
    </row>
    <row r="308">
      <c r="A308" s="4" t="s">
        <v>1348</v>
      </c>
      <c r="B308" s="52" t="s">
        <v>901</v>
      </c>
      <c r="D308" s="4">
        <v>1.0</v>
      </c>
      <c r="F308" s="4">
        <v>1.0</v>
      </c>
      <c r="G308" s="4">
        <v>1.0</v>
      </c>
    </row>
    <row r="309">
      <c r="A309" s="4" t="s">
        <v>57</v>
      </c>
      <c r="B309" s="52" t="s">
        <v>902</v>
      </c>
      <c r="D309" s="4">
        <v>1.0</v>
      </c>
      <c r="F309" s="4">
        <v>1.0</v>
      </c>
      <c r="G309" s="4">
        <v>1.0</v>
      </c>
    </row>
    <row r="310">
      <c r="A310" s="4" t="s">
        <v>1348</v>
      </c>
      <c r="B310" s="52" t="s">
        <v>1066</v>
      </c>
      <c r="F310" s="4">
        <v>1.0</v>
      </c>
    </row>
    <row r="311">
      <c r="A311" s="4" t="s">
        <v>1348</v>
      </c>
      <c r="B311" s="53" t="s">
        <v>1067</v>
      </c>
      <c r="F311" s="4">
        <v>1.0</v>
      </c>
      <c r="G311" s="4">
        <v>1.0</v>
      </c>
    </row>
    <row r="312">
      <c r="A312" s="4" t="s">
        <v>1349</v>
      </c>
      <c r="B312" s="52" t="s">
        <v>1074</v>
      </c>
      <c r="N312" s="4">
        <v>17.0</v>
      </c>
    </row>
    <row r="313">
      <c r="A313" s="4" t="s">
        <v>57</v>
      </c>
      <c r="B313" s="52" t="s">
        <v>685</v>
      </c>
      <c r="C313" s="4">
        <v>1.0</v>
      </c>
    </row>
    <row r="314">
      <c r="A314" s="4" t="s">
        <v>57</v>
      </c>
      <c r="B314" s="52" t="s">
        <v>323</v>
      </c>
      <c r="D314" s="4">
        <v>1.0</v>
      </c>
    </row>
    <row r="315">
      <c r="A315" s="4" t="s">
        <v>57</v>
      </c>
      <c r="B315" s="52" t="s">
        <v>921</v>
      </c>
      <c r="E315" s="4">
        <v>1.0</v>
      </c>
    </row>
    <row r="316">
      <c r="A316" s="4" t="s">
        <v>57</v>
      </c>
      <c r="B316" s="52" t="s">
        <v>923</v>
      </c>
      <c r="E316" s="4">
        <v>1.0</v>
      </c>
    </row>
    <row r="317">
      <c r="A317" s="4" t="s">
        <v>57</v>
      </c>
      <c r="B317" s="52" t="s">
        <v>687</v>
      </c>
      <c r="F317" s="4">
        <v>1.0</v>
      </c>
    </row>
    <row r="318">
      <c r="A318" s="4" t="s">
        <v>57</v>
      </c>
      <c r="B318" s="52" t="s">
        <v>1094</v>
      </c>
      <c r="I318" s="4">
        <v>1.0</v>
      </c>
    </row>
    <row r="319">
      <c r="A319" s="4" t="s">
        <v>1349</v>
      </c>
      <c r="B319" s="52" t="s">
        <v>1095</v>
      </c>
      <c r="N319" s="4">
        <v>3.0</v>
      </c>
    </row>
    <row r="320">
      <c r="A320" s="4" t="s">
        <v>57</v>
      </c>
      <c r="B320" s="52" t="s">
        <v>1096</v>
      </c>
      <c r="I320" s="4">
        <v>1.0</v>
      </c>
    </row>
    <row r="321">
      <c r="A321" s="4" t="s">
        <v>1348</v>
      </c>
      <c r="B321" s="52" t="s">
        <v>1097</v>
      </c>
      <c r="P321" s="4">
        <v>1.0</v>
      </c>
    </row>
    <row r="322">
      <c r="A322" s="4" t="s">
        <v>57</v>
      </c>
      <c r="B322" s="52" t="s">
        <v>1098</v>
      </c>
      <c r="I322" s="4">
        <v>1.0</v>
      </c>
    </row>
    <row r="323">
      <c r="A323" s="4" t="s">
        <v>57</v>
      </c>
      <c r="B323" s="52" t="s">
        <v>1099</v>
      </c>
      <c r="C323" s="4">
        <v>1.0</v>
      </c>
    </row>
    <row r="324">
      <c r="A324" s="4" t="s">
        <v>57</v>
      </c>
      <c r="B324" s="52" t="s">
        <v>1100</v>
      </c>
      <c r="C324" s="4">
        <v>1.0</v>
      </c>
    </row>
    <row r="325">
      <c r="A325" s="4" t="s">
        <v>57</v>
      </c>
      <c r="B325" s="52" t="s">
        <v>1102</v>
      </c>
      <c r="I325" s="4">
        <v>1.0</v>
      </c>
    </row>
    <row r="326">
      <c r="A326" s="4" t="s">
        <v>57</v>
      </c>
      <c r="B326" s="52" t="s">
        <v>1104</v>
      </c>
      <c r="I326" s="4">
        <v>2.0</v>
      </c>
    </row>
    <row r="327">
      <c r="A327" s="4" t="s">
        <v>1348</v>
      </c>
      <c r="B327" s="52" t="s">
        <v>1105</v>
      </c>
      <c r="M327" s="4">
        <v>1.0</v>
      </c>
    </row>
    <row r="328">
      <c r="A328" s="4" t="s">
        <v>57</v>
      </c>
      <c r="B328" s="52" t="s">
        <v>1107</v>
      </c>
      <c r="I328" s="4">
        <v>1.0</v>
      </c>
    </row>
    <row r="329">
      <c r="A329" s="4" t="s">
        <v>57</v>
      </c>
      <c r="B329" s="52" t="s">
        <v>1108</v>
      </c>
      <c r="I329" s="4">
        <v>1.0</v>
      </c>
    </row>
    <row r="330">
      <c r="A330" s="4" t="s">
        <v>57</v>
      </c>
      <c r="B330" s="52" t="s">
        <v>1110</v>
      </c>
      <c r="C330" s="4">
        <v>1.0</v>
      </c>
    </row>
    <row r="331">
      <c r="A331" s="4" t="s">
        <v>57</v>
      </c>
      <c r="B331" s="52" t="s">
        <v>1377</v>
      </c>
      <c r="I331" s="4">
        <v>1.0</v>
      </c>
    </row>
    <row r="332">
      <c r="A332" s="4" t="s">
        <v>57</v>
      </c>
      <c r="B332" s="52" t="s">
        <v>1112</v>
      </c>
      <c r="I332" s="4">
        <v>1.0</v>
      </c>
    </row>
    <row r="333">
      <c r="A333" s="4" t="s">
        <v>57</v>
      </c>
      <c r="B333" s="52" t="s">
        <v>1113</v>
      </c>
      <c r="I333" s="4">
        <v>1.0</v>
      </c>
    </row>
    <row r="334">
      <c r="A334" s="4" t="s">
        <v>57</v>
      </c>
      <c r="B334" s="52" t="s">
        <v>1118</v>
      </c>
      <c r="I334" s="4">
        <v>1.0</v>
      </c>
    </row>
    <row r="335">
      <c r="A335" s="4" t="s">
        <v>57</v>
      </c>
      <c r="B335" s="52" t="s">
        <v>1120</v>
      </c>
      <c r="I335" s="4">
        <v>1.0</v>
      </c>
    </row>
    <row r="336">
      <c r="A336" s="4" t="s">
        <v>57</v>
      </c>
      <c r="B336" s="52" t="s">
        <v>1121</v>
      </c>
      <c r="I336" s="4">
        <v>1.0</v>
      </c>
    </row>
    <row r="337">
      <c r="A337" s="4" t="s">
        <v>57</v>
      </c>
      <c r="B337" s="52" t="s">
        <v>1122</v>
      </c>
      <c r="I337" s="4">
        <v>1.0</v>
      </c>
    </row>
    <row r="338">
      <c r="A338" s="4" t="s">
        <v>57</v>
      </c>
      <c r="B338" s="52" t="s">
        <v>1123</v>
      </c>
      <c r="I338" s="4">
        <v>1.0</v>
      </c>
    </row>
    <row r="339">
      <c r="A339" s="4" t="s">
        <v>57</v>
      </c>
      <c r="B339" s="52" t="s">
        <v>1128</v>
      </c>
      <c r="I339" s="4">
        <v>1.0</v>
      </c>
    </row>
    <row r="340">
      <c r="A340" s="4" t="s">
        <v>57</v>
      </c>
      <c r="B340" s="52" t="s">
        <v>1129</v>
      </c>
      <c r="I340" s="4">
        <v>1.0</v>
      </c>
    </row>
    <row r="341">
      <c r="A341" s="4" t="s">
        <v>57</v>
      </c>
      <c r="B341" s="52" t="s">
        <v>1130</v>
      </c>
      <c r="I341" s="4">
        <v>1.0</v>
      </c>
    </row>
    <row r="342">
      <c r="A342" s="4" t="s">
        <v>57</v>
      </c>
      <c r="B342" s="52" t="s">
        <v>1131</v>
      </c>
      <c r="I342" s="4">
        <v>1.0</v>
      </c>
    </row>
    <row r="343">
      <c r="A343" s="4" t="s">
        <v>57</v>
      </c>
      <c r="B343" s="52" t="s">
        <v>1133</v>
      </c>
      <c r="I343" s="4">
        <v>1.0</v>
      </c>
    </row>
    <row r="344">
      <c r="A344" s="4" t="s">
        <v>57</v>
      </c>
      <c r="B344" s="52" t="s">
        <v>1135</v>
      </c>
      <c r="I344" s="4">
        <v>1.0</v>
      </c>
    </row>
    <row r="345">
      <c r="A345" s="4" t="s">
        <v>57</v>
      </c>
      <c r="B345" s="52" t="s">
        <v>1137</v>
      </c>
      <c r="I345" s="4">
        <v>1.0</v>
      </c>
    </row>
    <row r="346">
      <c r="A346" s="4" t="s">
        <v>57</v>
      </c>
      <c r="B346" s="52" t="s">
        <v>1138</v>
      </c>
      <c r="I346" s="4">
        <v>1.0</v>
      </c>
    </row>
    <row r="347">
      <c r="A347" s="4" t="s">
        <v>57</v>
      </c>
      <c r="B347" s="52" t="s">
        <v>1139</v>
      </c>
      <c r="I347" s="4">
        <v>1.0</v>
      </c>
    </row>
    <row r="348">
      <c r="A348" s="4" t="s">
        <v>57</v>
      </c>
      <c r="B348" s="52" t="s">
        <v>1140</v>
      </c>
      <c r="I348" s="4">
        <v>1.0</v>
      </c>
    </row>
    <row r="349">
      <c r="A349" s="4" t="s">
        <v>57</v>
      </c>
      <c r="B349" s="52" t="s">
        <v>1141</v>
      </c>
      <c r="I349" s="4">
        <v>1.0</v>
      </c>
    </row>
    <row r="350">
      <c r="A350" s="4" t="s">
        <v>57</v>
      </c>
      <c r="B350" s="52" t="s">
        <v>1142</v>
      </c>
      <c r="I350" s="4">
        <v>1.0</v>
      </c>
    </row>
    <row r="351">
      <c r="A351" s="4" t="s">
        <v>57</v>
      </c>
      <c r="B351" s="52" t="s">
        <v>1143</v>
      </c>
      <c r="I351" s="4">
        <v>1.0</v>
      </c>
    </row>
    <row r="352">
      <c r="A352" s="4" t="s">
        <v>1348</v>
      </c>
      <c r="B352" s="52" t="s">
        <v>1144</v>
      </c>
      <c r="M352" s="4">
        <v>1.0</v>
      </c>
    </row>
    <row r="353">
      <c r="A353" s="4" t="s">
        <v>57</v>
      </c>
      <c r="B353" s="52" t="s">
        <v>1145</v>
      </c>
      <c r="I353" s="4">
        <v>1.0</v>
      </c>
    </row>
    <row r="354">
      <c r="A354" s="4" t="s">
        <v>57</v>
      </c>
      <c r="B354" s="52" t="s">
        <v>1146</v>
      </c>
      <c r="I354" s="4">
        <v>1.0</v>
      </c>
    </row>
    <row r="355">
      <c r="A355" s="4" t="s">
        <v>57</v>
      </c>
      <c r="B355" s="52" t="s">
        <v>1147</v>
      </c>
      <c r="I355" s="4">
        <v>1.0</v>
      </c>
    </row>
    <row r="356">
      <c r="A356" s="4" t="s">
        <v>57</v>
      </c>
      <c r="B356" s="52" t="s">
        <v>1149</v>
      </c>
      <c r="I356" s="4">
        <v>1.0</v>
      </c>
    </row>
    <row r="357">
      <c r="A357" s="4" t="s">
        <v>57</v>
      </c>
      <c r="B357" s="52" t="s">
        <v>1150</v>
      </c>
      <c r="I357" s="4">
        <v>1.0</v>
      </c>
    </row>
    <row r="358">
      <c r="A358" s="4" t="s">
        <v>57</v>
      </c>
      <c r="B358" s="52" t="s">
        <v>1151</v>
      </c>
      <c r="I358" s="4">
        <v>1.0</v>
      </c>
    </row>
    <row r="359">
      <c r="A359" s="4" t="s">
        <v>57</v>
      </c>
      <c r="B359" s="52" t="s">
        <v>1153</v>
      </c>
      <c r="C359" s="4">
        <v>1.0</v>
      </c>
    </row>
    <row r="360">
      <c r="A360" s="4" t="s">
        <v>57</v>
      </c>
      <c r="B360" s="52" t="s">
        <v>1154</v>
      </c>
      <c r="I360" s="4">
        <v>1.0</v>
      </c>
    </row>
    <row r="361">
      <c r="A361" s="4" t="s">
        <v>57</v>
      </c>
      <c r="B361" s="52" t="s">
        <v>1155</v>
      </c>
      <c r="I361" s="4">
        <v>1.0</v>
      </c>
    </row>
    <row r="362">
      <c r="A362" s="4" t="s">
        <v>57</v>
      </c>
      <c r="B362" s="52" t="s">
        <v>1157</v>
      </c>
      <c r="I362" s="4">
        <v>1.0</v>
      </c>
    </row>
    <row r="363">
      <c r="A363" s="4" t="s">
        <v>57</v>
      </c>
      <c r="B363" s="52" t="s">
        <v>1158</v>
      </c>
      <c r="G363" s="4"/>
      <c r="I363" s="4">
        <v>1.0</v>
      </c>
    </row>
    <row r="364">
      <c r="A364" s="4" t="s">
        <v>57</v>
      </c>
      <c r="B364" s="52" t="s">
        <v>1160</v>
      </c>
      <c r="I364" s="4">
        <v>1.0</v>
      </c>
    </row>
    <row r="365">
      <c r="A365" s="4" t="s">
        <v>1348</v>
      </c>
      <c r="B365" s="52" t="s">
        <v>1000</v>
      </c>
      <c r="P365" s="4">
        <v>6.0</v>
      </c>
    </row>
    <row r="366">
      <c r="A366" s="4" t="s">
        <v>1348</v>
      </c>
      <c r="B366" s="52" t="s">
        <v>1002</v>
      </c>
      <c r="P366" s="4">
        <v>2.0</v>
      </c>
    </row>
    <row r="367">
      <c r="A367" s="4" t="s">
        <v>1348</v>
      </c>
      <c r="B367" s="52" t="s">
        <v>1003</v>
      </c>
      <c r="P367" s="4">
        <v>7.0</v>
      </c>
    </row>
    <row r="368">
      <c r="A368" s="4" t="s">
        <v>57</v>
      </c>
      <c r="B368" s="52" t="s">
        <v>1302</v>
      </c>
      <c r="I368" s="4">
        <v>2.0</v>
      </c>
    </row>
    <row r="369">
      <c r="A369" s="4" t="s">
        <v>57</v>
      </c>
      <c r="B369" s="52" t="s">
        <v>1161</v>
      </c>
      <c r="I369" s="4">
        <v>1.0</v>
      </c>
    </row>
    <row r="370">
      <c r="A370" s="4" t="s">
        <v>57</v>
      </c>
      <c r="B370" s="52" t="s">
        <v>1162</v>
      </c>
      <c r="I370" s="4">
        <v>1.0</v>
      </c>
    </row>
    <row r="371">
      <c r="A371" s="4" t="s">
        <v>57</v>
      </c>
      <c r="B371" s="52" t="s">
        <v>1164</v>
      </c>
      <c r="I371" s="4">
        <v>1.0</v>
      </c>
    </row>
    <row r="372">
      <c r="A372" s="4" t="s">
        <v>1348</v>
      </c>
      <c r="B372" s="52" t="s">
        <v>1165</v>
      </c>
      <c r="M372" s="4">
        <v>1.0</v>
      </c>
    </row>
    <row r="373">
      <c r="A373" s="4" t="s">
        <v>57</v>
      </c>
      <c r="B373" s="52" t="s">
        <v>1166</v>
      </c>
      <c r="I373" s="4">
        <v>1.0</v>
      </c>
    </row>
    <row r="374">
      <c r="A374" s="4" t="s">
        <v>1349</v>
      </c>
      <c r="B374" s="52" t="s">
        <v>1167</v>
      </c>
      <c r="N374" s="4">
        <v>4.0</v>
      </c>
    </row>
    <row r="375">
      <c r="A375" s="4" t="s">
        <v>57</v>
      </c>
      <c r="B375" s="52" t="s">
        <v>1083</v>
      </c>
      <c r="I375" s="4">
        <v>2.0</v>
      </c>
    </row>
    <row r="376">
      <c r="A376" s="4" t="s">
        <v>57</v>
      </c>
      <c r="B376" s="52" t="s">
        <v>1172</v>
      </c>
      <c r="I376" s="4">
        <v>1.0</v>
      </c>
      <c r="J376" s="4"/>
    </row>
    <row r="377">
      <c r="A377" s="4" t="s">
        <v>57</v>
      </c>
      <c r="B377" s="52" t="s">
        <v>1173</v>
      </c>
      <c r="I377" s="4">
        <v>1.0</v>
      </c>
    </row>
    <row r="378">
      <c r="A378" s="4" t="s">
        <v>57</v>
      </c>
      <c r="B378" s="52" t="s">
        <v>1174</v>
      </c>
      <c r="I378" s="4">
        <v>1.0</v>
      </c>
    </row>
    <row r="379">
      <c r="A379" s="4" t="s">
        <v>57</v>
      </c>
      <c r="B379" s="52" t="s">
        <v>1175</v>
      </c>
      <c r="I379" s="4">
        <v>1.0</v>
      </c>
    </row>
    <row r="380">
      <c r="A380" s="4" t="s">
        <v>1348</v>
      </c>
      <c r="B380" s="52" t="s">
        <v>1178</v>
      </c>
      <c r="M380" s="4">
        <v>3.0</v>
      </c>
    </row>
    <row r="381">
      <c r="A381" s="4" t="s">
        <v>57</v>
      </c>
      <c r="B381" s="52" t="s">
        <v>1180</v>
      </c>
      <c r="I381" s="4">
        <v>1.0</v>
      </c>
    </row>
    <row r="382">
      <c r="A382" s="4" t="s">
        <v>57</v>
      </c>
      <c r="B382" s="52" t="s">
        <v>1183</v>
      </c>
      <c r="C382" s="4">
        <v>2.0</v>
      </c>
    </row>
    <row r="383">
      <c r="A383" s="4" t="s">
        <v>57</v>
      </c>
      <c r="B383" s="52" t="s">
        <v>1184</v>
      </c>
      <c r="I383" s="4">
        <v>1.0</v>
      </c>
    </row>
    <row r="384">
      <c r="A384" s="4" t="s">
        <v>57</v>
      </c>
      <c r="B384" s="52" t="s">
        <v>1185</v>
      </c>
      <c r="I384" s="4">
        <v>1.0</v>
      </c>
    </row>
    <row r="385">
      <c r="A385" s="4" t="s">
        <v>57</v>
      </c>
      <c r="B385" s="52" t="s">
        <v>1187</v>
      </c>
      <c r="I385" s="4">
        <v>1.0</v>
      </c>
    </row>
    <row r="386">
      <c r="A386" s="4" t="s">
        <v>57</v>
      </c>
      <c r="B386" s="52" t="s">
        <v>1188</v>
      </c>
      <c r="I386" s="4">
        <v>1.0</v>
      </c>
      <c r="J386" s="4"/>
    </row>
    <row r="387">
      <c r="A387" s="4" t="s">
        <v>57</v>
      </c>
      <c r="B387" s="52" t="s">
        <v>1442</v>
      </c>
      <c r="I387" s="4">
        <v>1.0</v>
      </c>
    </row>
    <row r="388">
      <c r="A388" s="4" t="s">
        <v>1349</v>
      </c>
      <c r="B388" s="52" t="s">
        <v>1195</v>
      </c>
      <c r="M388" s="4">
        <v>1.0</v>
      </c>
    </row>
    <row r="389">
      <c r="A389" s="4" t="s">
        <v>57</v>
      </c>
      <c r="B389" s="52" t="s">
        <v>1196</v>
      </c>
      <c r="I389" s="4">
        <v>1.0</v>
      </c>
    </row>
    <row r="390">
      <c r="A390" s="4" t="s">
        <v>57</v>
      </c>
      <c r="B390" s="52" t="s">
        <v>1198</v>
      </c>
      <c r="I390" s="4">
        <v>1.0</v>
      </c>
    </row>
    <row r="391">
      <c r="A391" s="4" t="s">
        <v>57</v>
      </c>
      <c r="B391" s="52" t="s">
        <v>1199</v>
      </c>
      <c r="I391" s="4">
        <v>1.0</v>
      </c>
    </row>
    <row r="392">
      <c r="A392" s="4" t="s">
        <v>57</v>
      </c>
      <c r="B392" s="52" t="s">
        <v>1200</v>
      </c>
      <c r="I392" s="4">
        <v>1.0</v>
      </c>
    </row>
    <row r="393">
      <c r="A393" s="4" t="s">
        <v>1348</v>
      </c>
      <c r="B393" s="52" t="s">
        <v>1202</v>
      </c>
      <c r="C393" s="4">
        <v>1.0</v>
      </c>
    </row>
    <row r="394">
      <c r="A394" s="4" t="s">
        <v>57</v>
      </c>
      <c r="B394" s="52" t="s">
        <v>1203</v>
      </c>
      <c r="I394" s="4">
        <v>1.0</v>
      </c>
    </row>
    <row r="395">
      <c r="A395" s="4" t="s">
        <v>57</v>
      </c>
      <c r="B395" s="52" t="s">
        <v>1204</v>
      </c>
      <c r="I395" s="4">
        <v>1.0</v>
      </c>
    </row>
    <row r="396">
      <c r="A396" s="4" t="s">
        <v>57</v>
      </c>
      <c r="B396" s="52" t="s">
        <v>1209</v>
      </c>
      <c r="I396" s="4">
        <v>1.0</v>
      </c>
    </row>
    <row r="397">
      <c r="A397" s="4" t="s">
        <v>57</v>
      </c>
      <c r="B397" s="52" t="s">
        <v>1210</v>
      </c>
      <c r="I397" s="4">
        <v>1.0</v>
      </c>
    </row>
    <row r="398">
      <c r="A398" s="4" t="s">
        <v>57</v>
      </c>
      <c r="B398" s="52" t="s">
        <v>1211</v>
      </c>
      <c r="I398" s="4">
        <v>1.0</v>
      </c>
    </row>
    <row r="399">
      <c r="A399" s="4" t="s">
        <v>57</v>
      </c>
      <c r="B399" s="52" t="s">
        <v>211</v>
      </c>
      <c r="M399" s="4">
        <v>1.0</v>
      </c>
    </row>
    <row r="400">
      <c r="B400" s="54"/>
    </row>
    <row r="401">
      <c r="B401" s="54"/>
    </row>
    <row r="402">
      <c r="B402" s="54"/>
    </row>
    <row r="403">
      <c r="B403" s="54"/>
    </row>
    <row r="404">
      <c r="B404" s="54"/>
    </row>
    <row r="405">
      <c r="B405" s="54"/>
    </row>
    <row r="406">
      <c r="B406" s="54"/>
    </row>
    <row r="407">
      <c r="B407" s="54"/>
    </row>
    <row r="408">
      <c r="B408" s="54"/>
    </row>
    <row r="409">
      <c r="B409" s="54"/>
    </row>
    <row r="410">
      <c r="B410" s="54"/>
    </row>
    <row r="411">
      <c r="B411" s="54"/>
    </row>
    <row r="412">
      <c r="B412" s="54"/>
    </row>
    <row r="413">
      <c r="B413" s="54"/>
    </row>
    <row r="414">
      <c r="B414" s="54"/>
    </row>
    <row r="415">
      <c r="B415" s="54"/>
    </row>
    <row r="416">
      <c r="B416" s="54"/>
    </row>
    <row r="417">
      <c r="B417" s="54"/>
    </row>
    <row r="418">
      <c r="B418" s="54"/>
    </row>
    <row r="419">
      <c r="B419" s="54"/>
    </row>
    <row r="420">
      <c r="B420" s="54"/>
    </row>
    <row r="421">
      <c r="B421" s="54"/>
    </row>
    <row r="422">
      <c r="B422" s="54"/>
    </row>
    <row r="423">
      <c r="B423" s="54"/>
    </row>
    <row r="424">
      <c r="B424" s="54"/>
    </row>
    <row r="425">
      <c r="B425" s="54"/>
    </row>
    <row r="426">
      <c r="B426" s="54"/>
    </row>
    <row r="427">
      <c r="B427" s="54"/>
    </row>
    <row r="428">
      <c r="B428" s="54"/>
    </row>
    <row r="429">
      <c r="B429" s="54"/>
    </row>
    <row r="430">
      <c r="B430" s="54"/>
    </row>
    <row r="431">
      <c r="B431" s="54"/>
    </row>
    <row r="432">
      <c r="B432" s="54"/>
    </row>
    <row r="433">
      <c r="B433" s="54"/>
    </row>
    <row r="434">
      <c r="B434" s="54"/>
    </row>
    <row r="435">
      <c r="B435" s="54"/>
    </row>
    <row r="436">
      <c r="B436" s="54"/>
    </row>
    <row r="437">
      <c r="B437" s="54"/>
    </row>
    <row r="438">
      <c r="B438" s="54"/>
    </row>
    <row r="439">
      <c r="B439" s="54"/>
    </row>
    <row r="440">
      <c r="B440" s="54"/>
    </row>
    <row r="441">
      <c r="B441" s="54"/>
    </row>
    <row r="442">
      <c r="B442" s="54"/>
    </row>
    <row r="443">
      <c r="B443" s="54"/>
    </row>
    <row r="444">
      <c r="B444" s="54"/>
    </row>
    <row r="445">
      <c r="B445" s="54"/>
    </row>
    <row r="446">
      <c r="B446" s="54"/>
    </row>
    <row r="447">
      <c r="B447" s="54"/>
    </row>
    <row r="448">
      <c r="B448" s="54"/>
    </row>
    <row r="449">
      <c r="B449" s="54"/>
    </row>
    <row r="450">
      <c r="B450" s="54"/>
    </row>
    <row r="451">
      <c r="B451" s="54"/>
    </row>
    <row r="452">
      <c r="B452" s="54"/>
    </row>
    <row r="453">
      <c r="B453" s="54"/>
    </row>
    <row r="454">
      <c r="B454" s="54"/>
    </row>
    <row r="455">
      <c r="B455" s="54"/>
    </row>
    <row r="456">
      <c r="B456" s="54"/>
    </row>
    <row r="457">
      <c r="B457" s="54"/>
    </row>
    <row r="458">
      <c r="B458" s="54"/>
    </row>
    <row r="459">
      <c r="B459" s="54"/>
    </row>
    <row r="460">
      <c r="B460" s="54"/>
    </row>
    <row r="461">
      <c r="B461" s="54"/>
    </row>
    <row r="462">
      <c r="B462" s="54"/>
    </row>
    <row r="463">
      <c r="B463" s="54"/>
    </row>
    <row r="464">
      <c r="B464" s="54"/>
    </row>
    <row r="465">
      <c r="B465" s="54"/>
    </row>
    <row r="466">
      <c r="B466" s="54"/>
    </row>
    <row r="467">
      <c r="B467" s="54"/>
    </row>
    <row r="468">
      <c r="B468" s="54"/>
    </row>
    <row r="469">
      <c r="B469" s="54"/>
    </row>
    <row r="470">
      <c r="B470" s="54"/>
    </row>
    <row r="471">
      <c r="B471" s="54"/>
    </row>
    <row r="472">
      <c r="B472" s="54"/>
    </row>
    <row r="473">
      <c r="B473" s="54"/>
    </row>
    <row r="474">
      <c r="B474" s="54"/>
    </row>
    <row r="475">
      <c r="B475" s="54"/>
    </row>
    <row r="476">
      <c r="B476" s="54"/>
    </row>
    <row r="477">
      <c r="B477" s="54"/>
    </row>
    <row r="478">
      <c r="B478" s="54"/>
    </row>
    <row r="479">
      <c r="B479" s="54"/>
    </row>
    <row r="480">
      <c r="B480" s="54"/>
    </row>
    <row r="481">
      <c r="B481" s="54"/>
    </row>
    <row r="482">
      <c r="B482" s="54"/>
    </row>
    <row r="483">
      <c r="B483" s="54"/>
    </row>
    <row r="484">
      <c r="B484" s="54"/>
    </row>
    <row r="485">
      <c r="B485" s="54"/>
    </row>
    <row r="486">
      <c r="B486" s="54"/>
    </row>
    <row r="487">
      <c r="B487" s="54"/>
    </row>
    <row r="488">
      <c r="B488" s="54"/>
    </row>
    <row r="489">
      <c r="B489" s="54"/>
    </row>
    <row r="490">
      <c r="B490" s="54"/>
    </row>
    <row r="491">
      <c r="B491" s="54"/>
    </row>
    <row r="492">
      <c r="B492" s="54"/>
    </row>
    <row r="493">
      <c r="B493" s="54"/>
    </row>
    <row r="494">
      <c r="B494" s="54"/>
    </row>
    <row r="495">
      <c r="B495" s="54"/>
    </row>
    <row r="496">
      <c r="B496" s="54"/>
    </row>
    <row r="497">
      <c r="B497" s="54"/>
    </row>
    <row r="498">
      <c r="B498" s="54"/>
    </row>
    <row r="499">
      <c r="B499" s="54"/>
    </row>
    <row r="500">
      <c r="B500" s="54"/>
    </row>
    <row r="501">
      <c r="B501" s="54"/>
    </row>
    <row r="502">
      <c r="B502" s="54"/>
    </row>
    <row r="503">
      <c r="B503" s="54"/>
    </row>
    <row r="504">
      <c r="B504" s="54"/>
    </row>
    <row r="505">
      <c r="B505" s="54"/>
    </row>
    <row r="506">
      <c r="B506" s="54"/>
    </row>
    <row r="507">
      <c r="B507" s="54"/>
    </row>
    <row r="508">
      <c r="B508" s="54"/>
    </row>
    <row r="509">
      <c r="B509" s="54"/>
    </row>
    <row r="510">
      <c r="B510" s="54"/>
    </row>
    <row r="511">
      <c r="B511" s="54"/>
    </row>
    <row r="512">
      <c r="B512" s="54"/>
    </row>
    <row r="513">
      <c r="B513" s="54"/>
    </row>
    <row r="514">
      <c r="B514" s="54"/>
    </row>
    <row r="515">
      <c r="B515" s="54"/>
    </row>
    <row r="516">
      <c r="B516" s="54"/>
    </row>
    <row r="517">
      <c r="B517" s="54"/>
    </row>
    <row r="518">
      <c r="B518" s="54"/>
    </row>
    <row r="519">
      <c r="B519" s="54"/>
    </row>
    <row r="520">
      <c r="B520" s="54"/>
    </row>
    <row r="521">
      <c r="B521" s="54"/>
    </row>
    <row r="522">
      <c r="B522" s="54"/>
    </row>
    <row r="523">
      <c r="B523" s="54"/>
    </row>
    <row r="524">
      <c r="B524" s="54"/>
    </row>
    <row r="525">
      <c r="B525" s="54"/>
    </row>
    <row r="526">
      <c r="B526" s="54"/>
    </row>
    <row r="527">
      <c r="B527" s="54"/>
    </row>
    <row r="528">
      <c r="B528" s="54"/>
    </row>
    <row r="529">
      <c r="B529" s="54"/>
    </row>
    <row r="530">
      <c r="B530" s="54"/>
    </row>
    <row r="531">
      <c r="B531" s="54"/>
    </row>
    <row r="532">
      <c r="B532" s="54"/>
    </row>
    <row r="533">
      <c r="B533" s="54"/>
    </row>
    <row r="534">
      <c r="B534" s="54"/>
    </row>
    <row r="535">
      <c r="B535" s="54"/>
    </row>
    <row r="536">
      <c r="B536" s="54"/>
    </row>
    <row r="537">
      <c r="B537" s="54"/>
    </row>
    <row r="538">
      <c r="B538" s="54"/>
    </row>
    <row r="539">
      <c r="B539" s="54"/>
    </row>
    <row r="540">
      <c r="B540" s="54"/>
    </row>
    <row r="541">
      <c r="B541" s="54"/>
    </row>
    <row r="542">
      <c r="B542" s="54"/>
    </row>
    <row r="543">
      <c r="B543" s="54"/>
    </row>
    <row r="544">
      <c r="B544" s="54"/>
    </row>
    <row r="545">
      <c r="B545" s="54"/>
    </row>
    <row r="546">
      <c r="B546" s="54"/>
    </row>
    <row r="547">
      <c r="B547" s="54"/>
    </row>
    <row r="548">
      <c r="B548" s="54"/>
    </row>
    <row r="549">
      <c r="B549" s="54"/>
    </row>
    <row r="550">
      <c r="B550" s="54"/>
    </row>
    <row r="551">
      <c r="B551" s="54"/>
    </row>
    <row r="552">
      <c r="B552" s="54"/>
    </row>
    <row r="553">
      <c r="B553" s="54"/>
    </row>
    <row r="554">
      <c r="B554" s="54"/>
    </row>
    <row r="555">
      <c r="B555" s="54"/>
    </row>
    <row r="556">
      <c r="B556" s="54"/>
    </row>
    <row r="557">
      <c r="B557" s="54"/>
    </row>
    <row r="558">
      <c r="B558" s="54"/>
    </row>
    <row r="559">
      <c r="B559" s="54"/>
    </row>
    <row r="560">
      <c r="B560" s="54"/>
    </row>
    <row r="561">
      <c r="B561" s="54"/>
    </row>
    <row r="562">
      <c r="B562" s="54"/>
    </row>
    <row r="563">
      <c r="B563" s="54"/>
    </row>
    <row r="564">
      <c r="B564" s="54"/>
    </row>
    <row r="565">
      <c r="B565" s="54"/>
    </row>
    <row r="566">
      <c r="B566" s="54"/>
    </row>
    <row r="567">
      <c r="B567" s="54"/>
    </row>
    <row r="568">
      <c r="B568" s="54"/>
    </row>
    <row r="569">
      <c r="B569" s="54"/>
    </row>
    <row r="570">
      <c r="B570" s="54"/>
    </row>
    <row r="571">
      <c r="B571" s="54"/>
    </row>
    <row r="572">
      <c r="B572" s="54"/>
    </row>
    <row r="573">
      <c r="B573" s="54"/>
    </row>
    <row r="574">
      <c r="B574" s="54"/>
    </row>
    <row r="575">
      <c r="B575" s="54"/>
    </row>
    <row r="576">
      <c r="B576" s="54"/>
    </row>
    <row r="577">
      <c r="B577" s="54"/>
    </row>
    <row r="578">
      <c r="B578" s="54"/>
    </row>
    <row r="579">
      <c r="B579" s="54"/>
    </row>
    <row r="580">
      <c r="B580" s="54"/>
    </row>
    <row r="581">
      <c r="B581" s="54"/>
    </row>
    <row r="582">
      <c r="B582" s="54"/>
    </row>
    <row r="583">
      <c r="B583" s="54"/>
    </row>
    <row r="584">
      <c r="B584" s="54"/>
    </row>
    <row r="585">
      <c r="B585" s="54"/>
    </row>
    <row r="586">
      <c r="B586" s="54"/>
    </row>
    <row r="587">
      <c r="B587" s="54"/>
    </row>
    <row r="588">
      <c r="B588" s="54"/>
    </row>
    <row r="589">
      <c r="B589" s="54"/>
    </row>
    <row r="590">
      <c r="B590" s="54"/>
    </row>
    <row r="591">
      <c r="B591" s="54"/>
    </row>
    <row r="592">
      <c r="B592" s="54"/>
    </row>
    <row r="593">
      <c r="B593" s="54"/>
    </row>
    <row r="594">
      <c r="B594" s="54"/>
    </row>
    <row r="595">
      <c r="B595" s="54"/>
    </row>
    <row r="596">
      <c r="B596" s="54"/>
    </row>
    <row r="597">
      <c r="B597" s="54"/>
    </row>
    <row r="598">
      <c r="B598" s="54"/>
    </row>
    <row r="599">
      <c r="B599" s="54"/>
    </row>
    <row r="600">
      <c r="B600" s="54"/>
    </row>
    <row r="601">
      <c r="B601" s="54"/>
    </row>
    <row r="602">
      <c r="B602" s="54"/>
    </row>
    <row r="603">
      <c r="B603" s="54"/>
    </row>
    <row r="604">
      <c r="B604" s="54"/>
    </row>
    <row r="605">
      <c r="B605" s="54"/>
    </row>
    <row r="606">
      <c r="B606" s="54"/>
    </row>
    <row r="607">
      <c r="B607" s="54"/>
    </row>
    <row r="608">
      <c r="B608" s="54"/>
    </row>
    <row r="609">
      <c r="B609" s="54"/>
    </row>
    <row r="610">
      <c r="B610" s="54"/>
    </row>
    <row r="611">
      <c r="B611" s="54"/>
    </row>
    <row r="612">
      <c r="B612" s="54"/>
    </row>
    <row r="613">
      <c r="B613" s="54"/>
    </row>
    <row r="614">
      <c r="B614" s="54"/>
    </row>
    <row r="615">
      <c r="B615" s="54"/>
    </row>
    <row r="616">
      <c r="B616" s="54"/>
    </row>
    <row r="617">
      <c r="B617" s="54"/>
    </row>
    <row r="618">
      <c r="B618" s="54"/>
    </row>
    <row r="619">
      <c r="B619" s="54"/>
    </row>
    <row r="620">
      <c r="B620" s="54"/>
    </row>
    <row r="621">
      <c r="B621" s="54"/>
    </row>
    <row r="622">
      <c r="B622" s="54"/>
    </row>
    <row r="623">
      <c r="B623" s="54"/>
    </row>
    <row r="624">
      <c r="B624" s="54"/>
    </row>
    <row r="625">
      <c r="B625" s="54"/>
    </row>
    <row r="626">
      <c r="B626" s="54"/>
    </row>
    <row r="627">
      <c r="B627" s="54"/>
    </row>
    <row r="628">
      <c r="B628" s="54"/>
    </row>
    <row r="629">
      <c r="B629" s="54"/>
    </row>
    <row r="630">
      <c r="B630" s="54"/>
    </row>
    <row r="631">
      <c r="B631" s="54"/>
    </row>
    <row r="632">
      <c r="B632" s="54"/>
    </row>
    <row r="633">
      <c r="B633" s="54"/>
    </row>
    <row r="634">
      <c r="B634" s="54"/>
    </row>
    <row r="635">
      <c r="B635" s="54"/>
    </row>
    <row r="636">
      <c r="B636" s="54"/>
    </row>
    <row r="637">
      <c r="B637" s="54"/>
    </row>
    <row r="638">
      <c r="B638" s="54"/>
    </row>
    <row r="639">
      <c r="B639" s="54"/>
    </row>
    <row r="640">
      <c r="B640" s="54"/>
    </row>
    <row r="641">
      <c r="B641" s="54"/>
    </row>
    <row r="642">
      <c r="B642" s="54"/>
    </row>
    <row r="643">
      <c r="B643" s="54"/>
    </row>
    <row r="644">
      <c r="B644" s="54"/>
    </row>
    <row r="645">
      <c r="B645" s="54"/>
    </row>
    <row r="646">
      <c r="B646" s="54"/>
    </row>
    <row r="647">
      <c r="B647" s="54"/>
    </row>
    <row r="648">
      <c r="B648" s="54"/>
    </row>
    <row r="649">
      <c r="B649" s="54"/>
    </row>
    <row r="650">
      <c r="B650" s="54"/>
    </row>
    <row r="651">
      <c r="B651" s="54"/>
    </row>
    <row r="652">
      <c r="B652" s="54"/>
    </row>
    <row r="653">
      <c r="B653" s="54"/>
    </row>
    <row r="654">
      <c r="B654" s="54"/>
    </row>
    <row r="655">
      <c r="B655" s="54"/>
    </row>
    <row r="656">
      <c r="B656" s="54"/>
    </row>
    <row r="657">
      <c r="B657" s="54"/>
    </row>
    <row r="658">
      <c r="B658" s="54"/>
    </row>
    <row r="659">
      <c r="B659" s="54"/>
    </row>
    <row r="660">
      <c r="B660" s="54"/>
    </row>
    <row r="661">
      <c r="B661" s="54"/>
    </row>
    <row r="662">
      <c r="B662" s="54"/>
    </row>
    <row r="663">
      <c r="B663" s="54"/>
    </row>
    <row r="664">
      <c r="B664" s="54"/>
    </row>
    <row r="665">
      <c r="B665" s="54"/>
    </row>
    <row r="666">
      <c r="B666" s="54"/>
    </row>
    <row r="667">
      <c r="B667" s="54"/>
    </row>
    <row r="668">
      <c r="B668" s="54"/>
    </row>
    <row r="669">
      <c r="B669" s="54"/>
    </row>
    <row r="670">
      <c r="B670" s="54"/>
    </row>
    <row r="671">
      <c r="B671" s="54"/>
    </row>
    <row r="672">
      <c r="B672" s="54"/>
    </row>
    <row r="673">
      <c r="B673" s="54"/>
    </row>
    <row r="674">
      <c r="B674" s="54"/>
    </row>
    <row r="675">
      <c r="B675" s="54"/>
    </row>
    <row r="676">
      <c r="B676" s="54"/>
    </row>
    <row r="677">
      <c r="B677" s="54"/>
    </row>
    <row r="678">
      <c r="B678" s="54"/>
    </row>
    <row r="679">
      <c r="B679" s="54"/>
    </row>
    <row r="680">
      <c r="B680" s="54"/>
    </row>
    <row r="681">
      <c r="B681" s="54"/>
    </row>
    <row r="682">
      <c r="B682" s="54"/>
    </row>
    <row r="683">
      <c r="B683" s="54"/>
    </row>
    <row r="684">
      <c r="B684" s="54"/>
    </row>
    <row r="685">
      <c r="B685" s="54"/>
    </row>
    <row r="686">
      <c r="B686" s="54"/>
    </row>
    <row r="687">
      <c r="B687" s="54"/>
    </row>
    <row r="688">
      <c r="B688" s="54"/>
    </row>
    <row r="689">
      <c r="B689" s="54"/>
    </row>
    <row r="690">
      <c r="B690" s="54"/>
    </row>
    <row r="691">
      <c r="B691" s="54"/>
    </row>
    <row r="692">
      <c r="B692" s="54"/>
    </row>
    <row r="693">
      <c r="B693" s="54"/>
    </row>
    <row r="694">
      <c r="B694" s="54"/>
    </row>
    <row r="695">
      <c r="B695" s="54"/>
    </row>
    <row r="696">
      <c r="B696" s="54"/>
    </row>
    <row r="697">
      <c r="B697" s="54"/>
    </row>
    <row r="698">
      <c r="B698" s="54"/>
    </row>
    <row r="699">
      <c r="B699" s="54"/>
    </row>
    <row r="700">
      <c r="B700" s="54"/>
    </row>
    <row r="701">
      <c r="B701" s="54"/>
    </row>
    <row r="702">
      <c r="B702" s="54"/>
    </row>
    <row r="703">
      <c r="B703" s="54"/>
    </row>
    <row r="704">
      <c r="B704" s="54"/>
    </row>
    <row r="705">
      <c r="B705" s="54"/>
    </row>
    <row r="706">
      <c r="B706" s="54"/>
    </row>
    <row r="707">
      <c r="B707" s="54"/>
    </row>
    <row r="708">
      <c r="B708" s="54"/>
    </row>
    <row r="709">
      <c r="B709" s="54"/>
    </row>
    <row r="710">
      <c r="B710" s="54"/>
    </row>
    <row r="711">
      <c r="B711" s="54"/>
    </row>
    <row r="712">
      <c r="B712" s="54"/>
    </row>
    <row r="713">
      <c r="B713" s="54"/>
    </row>
    <row r="714">
      <c r="B714" s="54"/>
    </row>
    <row r="715">
      <c r="B715" s="54"/>
    </row>
    <row r="716">
      <c r="B716" s="54"/>
    </row>
    <row r="717">
      <c r="B717" s="54"/>
    </row>
    <row r="718">
      <c r="B718" s="54"/>
    </row>
    <row r="719">
      <c r="B719" s="54"/>
    </row>
    <row r="720">
      <c r="B720" s="54"/>
    </row>
    <row r="721">
      <c r="B721" s="54"/>
    </row>
    <row r="722">
      <c r="B722" s="54"/>
    </row>
    <row r="723">
      <c r="B723" s="54"/>
    </row>
    <row r="724">
      <c r="B724" s="54"/>
    </row>
    <row r="725">
      <c r="B725" s="54"/>
    </row>
    <row r="726">
      <c r="B726" s="54"/>
    </row>
    <row r="727">
      <c r="B727" s="54"/>
    </row>
    <row r="728">
      <c r="B728" s="54"/>
    </row>
    <row r="729">
      <c r="B729" s="54"/>
    </row>
    <row r="730">
      <c r="B730" s="54"/>
    </row>
    <row r="731">
      <c r="B731" s="54"/>
    </row>
    <row r="732">
      <c r="B732" s="54"/>
    </row>
    <row r="733">
      <c r="B733" s="54"/>
    </row>
    <row r="734">
      <c r="B734" s="54"/>
    </row>
    <row r="735">
      <c r="B735" s="54"/>
    </row>
    <row r="736">
      <c r="B736" s="54"/>
    </row>
    <row r="737">
      <c r="B737" s="54"/>
    </row>
    <row r="738">
      <c r="B738" s="54"/>
    </row>
    <row r="739">
      <c r="B739" s="54"/>
    </row>
    <row r="740">
      <c r="B740" s="54"/>
    </row>
    <row r="741">
      <c r="B741" s="54"/>
    </row>
    <row r="742">
      <c r="B742" s="54"/>
    </row>
    <row r="743">
      <c r="B743" s="54"/>
    </row>
    <row r="744">
      <c r="B744" s="54"/>
    </row>
    <row r="745">
      <c r="B745" s="54"/>
    </row>
    <row r="746">
      <c r="B746" s="54"/>
    </row>
    <row r="747">
      <c r="B747" s="54"/>
    </row>
    <row r="748">
      <c r="B748" s="54"/>
    </row>
    <row r="749">
      <c r="B749" s="54"/>
    </row>
    <row r="750">
      <c r="B750" s="54"/>
    </row>
    <row r="751">
      <c r="B751" s="54"/>
    </row>
    <row r="752">
      <c r="B752" s="54"/>
    </row>
    <row r="753">
      <c r="B753" s="54"/>
    </row>
    <row r="754">
      <c r="B754" s="54"/>
    </row>
    <row r="755">
      <c r="B755" s="54"/>
    </row>
    <row r="756">
      <c r="B756" s="54"/>
    </row>
    <row r="757">
      <c r="B757" s="54"/>
    </row>
    <row r="758">
      <c r="B758" s="54"/>
    </row>
    <row r="759">
      <c r="B759" s="54"/>
    </row>
    <row r="760">
      <c r="B760" s="54"/>
    </row>
    <row r="761">
      <c r="B761" s="54"/>
    </row>
    <row r="762">
      <c r="B762" s="54"/>
    </row>
    <row r="763">
      <c r="B763" s="54"/>
    </row>
    <row r="764">
      <c r="B764" s="54"/>
    </row>
    <row r="765">
      <c r="B765" s="54"/>
    </row>
    <row r="766">
      <c r="B766" s="54"/>
    </row>
    <row r="767">
      <c r="B767" s="54"/>
    </row>
    <row r="768">
      <c r="B768" s="54"/>
    </row>
    <row r="769">
      <c r="B769" s="54"/>
    </row>
    <row r="770">
      <c r="B770" s="54"/>
    </row>
    <row r="771">
      <c r="B771" s="54"/>
    </row>
    <row r="772">
      <c r="B772" s="54"/>
    </row>
    <row r="773">
      <c r="B773" s="54"/>
    </row>
    <row r="774">
      <c r="B774" s="54"/>
    </row>
    <row r="775">
      <c r="B775" s="54"/>
    </row>
    <row r="776">
      <c r="B776" s="54"/>
    </row>
    <row r="777">
      <c r="B777" s="54"/>
    </row>
    <row r="778">
      <c r="B778" s="54"/>
    </row>
    <row r="779">
      <c r="B779" s="54"/>
    </row>
    <row r="780">
      <c r="B780" s="54"/>
    </row>
    <row r="781">
      <c r="B781" s="54"/>
    </row>
    <row r="782">
      <c r="B782" s="54"/>
    </row>
    <row r="783">
      <c r="B783" s="54"/>
    </row>
    <row r="784">
      <c r="B784" s="54"/>
    </row>
    <row r="785">
      <c r="B785" s="54"/>
    </row>
    <row r="786">
      <c r="B786" s="54"/>
    </row>
    <row r="787">
      <c r="B787" s="54"/>
    </row>
    <row r="788">
      <c r="B788" s="54"/>
    </row>
    <row r="789">
      <c r="B789" s="54"/>
    </row>
    <row r="790">
      <c r="B790" s="54"/>
    </row>
    <row r="791">
      <c r="B791" s="54"/>
    </row>
    <row r="792">
      <c r="B792" s="54"/>
    </row>
    <row r="793">
      <c r="B793" s="54"/>
    </row>
    <row r="794">
      <c r="B794" s="54"/>
    </row>
    <row r="795">
      <c r="B795" s="54"/>
    </row>
    <row r="796">
      <c r="B796" s="54"/>
    </row>
    <row r="797">
      <c r="B797" s="54"/>
    </row>
    <row r="798">
      <c r="B798" s="54"/>
    </row>
    <row r="799">
      <c r="B799" s="54"/>
    </row>
    <row r="800">
      <c r="B800" s="54"/>
    </row>
    <row r="801">
      <c r="B801" s="54"/>
    </row>
    <row r="802">
      <c r="B802" s="54"/>
    </row>
    <row r="803">
      <c r="B803" s="54"/>
    </row>
    <row r="804">
      <c r="B804" s="54"/>
    </row>
    <row r="805">
      <c r="B805" s="54"/>
    </row>
    <row r="806">
      <c r="B806" s="54"/>
    </row>
    <row r="807">
      <c r="B807" s="54"/>
    </row>
    <row r="808">
      <c r="B808" s="54"/>
    </row>
    <row r="809">
      <c r="B809" s="54"/>
    </row>
    <row r="810">
      <c r="B810" s="54"/>
    </row>
    <row r="811">
      <c r="B811" s="54"/>
    </row>
    <row r="812">
      <c r="B812" s="54"/>
    </row>
    <row r="813">
      <c r="B813" s="54"/>
    </row>
    <row r="814">
      <c r="B814" s="54"/>
    </row>
    <row r="815">
      <c r="B815" s="54"/>
    </row>
    <row r="816">
      <c r="B816" s="54"/>
    </row>
    <row r="817">
      <c r="B817" s="54"/>
    </row>
    <row r="818">
      <c r="B818" s="54"/>
    </row>
    <row r="819">
      <c r="B819" s="54"/>
    </row>
    <row r="820">
      <c r="B820" s="54"/>
    </row>
    <row r="821">
      <c r="B821" s="54"/>
    </row>
    <row r="822">
      <c r="B822" s="54"/>
    </row>
    <row r="823">
      <c r="B823" s="54"/>
    </row>
    <row r="824">
      <c r="B824" s="54"/>
    </row>
    <row r="825">
      <c r="B825" s="54"/>
    </row>
    <row r="826">
      <c r="B826" s="54"/>
    </row>
    <row r="827">
      <c r="B827" s="54"/>
    </row>
    <row r="828">
      <c r="B828" s="54"/>
    </row>
    <row r="829">
      <c r="B829" s="54"/>
    </row>
    <row r="830">
      <c r="B830" s="54"/>
    </row>
    <row r="831">
      <c r="B831" s="54"/>
    </row>
    <row r="832">
      <c r="B832" s="54"/>
    </row>
    <row r="833">
      <c r="B833" s="54"/>
    </row>
    <row r="834">
      <c r="B834" s="54"/>
    </row>
    <row r="835">
      <c r="B835" s="54"/>
    </row>
    <row r="836">
      <c r="B836" s="54"/>
    </row>
    <row r="837">
      <c r="B837" s="54"/>
    </row>
    <row r="838">
      <c r="B838" s="54"/>
    </row>
    <row r="839">
      <c r="B839" s="54"/>
    </row>
    <row r="840">
      <c r="B840" s="54"/>
    </row>
    <row r="841">
      <c r="B841" s="54"/>
    </row>
    <row r="842">
      <c r="B842" s="54"/>
    </row>
    <row r="843">
      <c r="B843" s="54"/>
    </row>
    <row r="844">
      <c r="B844" s="54"/>
    </row>
    <row r="845">
      <c r="B845" s="54"/>
    </row>
    <row r="846">
      <c r="B846" s="54"/>
    </row>
    <row r="847">
      <c r="B847" s="54"/>
    </row>
    <row r="848">
      <c r="B848" s="54"/>
    </row>
    <row r="849">
      <c r="B849" s="54"/>
    </row>
    <row r="850">
      <c r="B850" s="54"/>
    </row>
    <row r="851">
      <c r="B851" s="54"/>
    </row>
    <row r="852">
      <c r="B852" s="54"/>
    </row>
    <row r="853">
      <c r="B853" s="54"/>
    </row>
    <row r="854">
      <c r="B854" s="54"/>
    </row>
    <row r="855">
      <c r="B855" s="54"/>
    </row>
    <row r="856">
      <c r="B856" s="54"/>
    </row>
    <row r="857">
      <c r="B857" s="54"/>
    </row>
    <row r="858">
      <c r="B858" s="54"/>
    </row>
    <row r="859">
      <c r="B859" s="54"/>
    </row>
    <row r="860">
      <c r="B860" s="54"/>
    </row>
    <row r="861">
      <c r="B861" s="54"/>
    </row>
    <row r="862">
      <c r="B862" s="54"/>
    </row>
    <row r="863">
      <c r="B863" s="54"/>
    </row>
    <row r="864">
      <c r="B864" s="54"/>
    </row>
    <row r="865">
      <c r="B865" s="54"/>
    </row>
    <row r="866">
      <c r="B866" s="54"/>
    </row>
    <row r="867">
      <c r="B867" s="54"/>
    </row>
    <row r="868">
      <c r="B868" s="54"/>
    </row>
    <row r="869">
      <c r="B869" s="54"/>
    </row>
    <row r="870">
      <c r="B870" s="54"/>
    </row>
    <row r="871">
      <c r="B871" s="54"/>
    </row>
    <row r="872">
      <c r="B872" s="54"/>
    </row>
    <row r="873">
      <c r="B873" s="54"/>
    </row>
    <row r="874">
      <c r="B874" s="54"/>
    </row>
    <row r="875">
      <c r="B875" s="54"/>
    </row>
    <row r="876">
      <c r="B876" s="54"/>
    </row>
    <row r="877">
      <c r="B877" s="54"/>
    </row>
    <row r="878">
      <c r="B878" s="54"/>
    </row>
    <row r="879">
      <c r="B879" s="54"/>
    </row>
    <row r="880">
      <c r="B880" s="54"/>
    </row>
    <row r="881">
      <c r="B881" s="54"/>
    </row>
    <row r="882">
      <c r="B882" s="54"/>
    </row>
    <row r="883">
      <c r="B883" s="54"/>
    </row>
    <row r="884">
      <c r="B884" s="54"/>
    </row>
    <row r="885">
      <c r="B885" s="54"/>
    </row>
    <row r="886">
      <c r="B886" s="54"/>
    </row>
    <row r="887">
      <c r="B887" s="54"/>
    </row>
    <row r="888">
      <c r="B888" s="54"/>
    </row>
    <row r="889">
      <c r="B889" s="54"/>
    </row>
    <row r="890">
      <c r="B890" s="54"/>
    </row>
    <row r="891">
      <c r="B891" s="54"/>
    </row>
    <row r="892">
      <c r="B892" s="54"/>
    </row>
    <row r="893">
      <c r="B893" s="54"/>
    </row>
    <row r="894">
      <c r="B894" s="54"/>
    </row>
    <row r="895">
      <c r="B895" s="54"/>
    </row>
    <row r="896">
      <c r="B896" s="54"/>
    </row>
    <row r="897">
      <c r="B897" s="54"/>
    </row>
    <row r="898">
      <c r="B898" s="54"/>
    </row>
    <row r="899">
      <c r="B899" s="54"/>
    </row>
    <row r="900">
      <c r="B900" s="54"/>
    </row>
    <row r="901">
      <c r="B901" s="54"/>
    </row>
    <row r="902">
      <c r="B902" s="54"/>
    </row>
    <row r="903">
      <c r="B903" s="54"/>
    </row>
    <row r="904">
      <c r="B904" s="54"/>
    </row>
    <row r="905">
      <c r="B905" s="54"/>
    </row>
    <row r="906">
      <c r="B906" s="54"/>
    </row>
    <row r="907">
      <c r="B907" s="54"/>
    </row>
    <row r="908">
      <c r="B908" s="54"/>
    </row>
    <row r="909">
      <c r="B909" s="54"/>
    </row>
    <row r="910">
      <c r="B910" s="54"/>
    </row>
    <row r="911">
      <c r="B911" s="54"/>
    </row>
    <row r="912">
      <c r="B912" s="54"/>
    </row>
    <row r="913">
      <c r="B913" s="54"/>
    </row>
    <row r="914">
      <c r="B914" s="54"/>
    </row>
    <row r="915">
      <c r="B915" s="54"/>
    </row>
    <row r="916">
      <c r="B916" s="54"/>
    </row>
    <row r="917">
      <c r="B917" s="54"/>
    </row>
    <row r="918">
      <c r="B918" s="54"/>
    </row>
    <row r="919">
      <c r="B919" s="54"/>
    </row>
    <row r="920">
      <c r="B920" s="54"/>
    </row>
    <row r="921">
      <c r="B921" s="54"/>
    </row>
    <row r="922">
      <c r="B922" s="54"/>
    </row>
    <row r="923">
      <c r="B923" s="54"/>
    </row>
    <row r="924">
      <c r="B924" s="54"/>
    </row>
    <row r="925">
      <c r="B925" s="54"/>
    </row>
    <row r="926">
      <c r="B926" s="54"/>
    </row>
    <row r="927">
      <c r="B927" s="54"/>
    </row>
    <row r="928">
      <c r="B928" s="54"/>
    </row>
    <row r="929">
      <c r="B929" s="54"/>
    </row>
    <row r="930">
      <c r="B930" s="54"/>
    </row>
    <row r="931">
      <c r="B931" s="54"/>
    </row>
    <row r="932">
      <c r="B932" s="54"/>
    </row>
    <row r="933">
      <c r="B933" s="54"/>
    </row>
    <row r="934">
      <c r="B934" s="54"/>
    </row>
    <row r="935">
      <c r="B935" s="54"/>
    </row>
    <row r="936">
      <c r="B936" s="54"/>
    </row>
    <row r="937">
      <c r="B937" s="54"/>
    </row>
    <row r="938">
      <c r="B938" s="54"/>
    </row>
    <row r="939">
      <c r="B939" s="54"/>
    </row>
    <row r="940">
      <c r="B940" s="54"/>
    </row>
    <row r="941">
      <c r="B941" s="54"/>
    </row>
    <row r="942">
      <c r="B942" s="54"/>
    </row>
    <row r="943">
      <c r="B943" s="54"/>
    </row>
    <row r="944">
      <c r="B944" s="54"/>
    </row>
    <row r="945">
      <c r="B945" s="54"/>
    </row>
    <row r="946">
      <c r="B946" s="54"/>
    </row>
    <row r="947">
      <c r="B947" s="54"/>
    </row>
    <row r="948">
      <c r="B948" s="54"/>
    </row>
    <row r="949">
      <c r="B949" s="54"/>
    </row>
    <row r="950">
      <c r="B950" s="54"/>
    </row>
    <row r="951">
      <c r="B951" s="54"/>
    </row>
    <row r="952">
      <c r="B952" s="54"/>
    </row>
    <row r="953">
      <c r="B953" s="54"/>
    </row>
    <row r="954">
      <c r="B954" s="54"/>
    </row>
    <row r="955">
      <c r="B955" s="54"/>
    </row>
    <row r="956">
      <c r="B956" s="54"/>
    </row>
    <row r="957">
      <c r="B957" s="54"/>
    </row>
    <row r="958">
      <c r="B958" s="54"/>
    </row>
    <row r="959">
      <c r="B959" s="54"/>
    </row>
    <row r="960">
      <c r="B960" s="54"/>
    </row>
    <row r="961">
      <c r="B961" s="54"/>
    </row>
    <row r="962">
      <c r="B962" s="54"/>
    </row>
    <row r="963">
      <c r="B963" s="54"/>
    </row>
    <row r="964">
      <c r="B964" s="54"/>
    </row>
    <row r="965">
      <c r="B965" s="54"/>
    </row>
    <row r="966">
      <c r="B966" s="54"/>
    </row>
    <row r="967">
      <c r="B967" s="54"/>
    </row>
    <row r="968">
      <c r="B968" s="54"/>
    </row>
    <row r="969">
      <c r="B969" s="54"/>
    </row>
    <row r="970">
      <c r="B970" s="54"/>
    </row>
    <row r="971">
      <c r="B971" s="54"/>
    </row>
    <row r="972">
      <c r="B972" s="54"/>
    </row>
    <row r="973">
      <c r="B973" s="54"/>
    </row>
    <row r="974">
      <c r="B974" s="54"/>
    </row>
    <row r="975">
      <c r="B975" s="54"/>
    </row>
    <row r="976">
      <c r="B976" s="54"/>
    </row>
    <row r="977">
      <c r="B977" s="54"/>
    </row>
    <row r="978">
      <c r="B978" s="54"/>
    </row>
    <row r="979">
      <c r="B979" s="54"/>
    </row>
    <row r="980">
      <c r="B980" s="54"/>
    </row>
    <row r="981">
      <c r="B981" s="54"/>
    </row>
    <row r="982">
      <c r="B982" s="54"/>
    </row>
    <row r="983">
      <c r="B983" s="54"/>
    </row>
    <row r="984">
      <c r="B984" s="54"/>
    </row>
    <row r="985">
      <c r="B985" s="54"/>
    </row>
    <row r="986">
      <c r="B986" s="54"/>
    </row>
    <row r="987">
      <c r="B987" s="54"/>
    </row>
    <row r="988">
      <c r="B988" s="54"/>
    </row>
    <row r="989">
      <c r="B989" s="54"/>
    </row>
    <row r="990">
      <c r="B990" s="54"/>
    </row>
    <row r="991">
      <c r="B991" s="54"/>
    </row>
    <row r="992">
      <c r="B992" s="54"/>
    </row>
    <row r="993">
      <c r="B993" s="54"/>
    </row>
    <row r="994">
      <c r="B994" s="54"/>
    </row>
    <row r="995">
      <c r="B995" s="54"/>
    </row>
    <row r="996">
      <c r="B996" s="54"/>
    </row>
    <row r="997">
      <c r="B997" s="54"/>
    </row>
    <row r="998">
      <c r="B998" s="54"/>
    </row>
    <row r="999">
      <c r="B999" s="54"/>
    </row>
    <row r="1000">
      <c r="B1000" s="54"/>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4.13"/>
  </cols>
  <sheetData>
    <row r="1" ht="353.25" customHeight="1">
      <c r="A1" s="55" t="s">
        <v>1443</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8.75" customHeight="1">
      <c r="A1" s="38" t="s">
        <v>1378</v>
      </c>
      <c r="B1" s="38" t="s">
        <v>1380</v>
      </c>
      <c r="C1" s="38" t="s">
        <v>1381</v>
      </c>
      <c r="D1" s="38" t="s">
        <v>1444</v>
      </c>
    </row>
    <row r="2">
      <c r="A2" s="39" t="s">
        <v>1445</v>
      </c>
      <c r="B2" s="44"/>
      <c r="C2" s="44"/>
      <c r="D2" s="44"/>
    </row>
    <row r="3">
      <c r="A3" s="41" t="s">
        <v>1339</v>
      </c>
      <c r="B3" s="56"/>
      <c r="C3" s="44"/>
      <c r="D3" s="44"/>
    </row>
    <row r="4">
      <c r="A4" s="44"/>
      <c r="B4" s="57" t="s">
        <v>1446</v>
      </c>
      <c r="C4" s="44"/>
      <c r="D4" s="44"/>
    </row>
    <row r="5">
      <c r="A5" s="39" t="s">
        <v>1447</v>
      </c>
      <c r="B5" s="58" t="s">
        <v>1448</v>
      </c>
      <c r="C5" s="56"/>
      <c r="D5" s="44"/>
    </row>
    <row r="6">
      <c r="A6" s="41" t="s">
        <v>1449</v>
      </c>
      <c r="B6" s="44"/>
      <c r="C6" s="56"/>
      <c r="D6" s="44"/>
    </row>
    <row r="7">
      <c r="A7" s="44"/>
      <c r="B7" s="44"/>
      <c r="C7" s="58" t="s">
        <v>1450</v>
      </c>
      <c r="D7" s="44"/>
    </row>
    <row r="8">
      <c r="A8" s="39" t="s">
        <v>1451</v>
      </c>
      <c r="B8" s="44"/>
      <c r="C8" s="59" t="s">
        <v>1452</v>
      </c>
      <c r="D8" s="56"/>
    </row>
    <row r="9">
      <c r="A9" s="41" t="s">
        <v>1453</v>
      </c>
      <c r="B9" s="56"/>
      <c r="C9" s="56"/>
      <c r="D9" s="56"/>
    </row>
    <row r="10">
      <c r="A10" s="44"/>
      <c r="B10" s="57" t="s">
        <v>1454</v>
      </c>
      <c r="C10" s="56"/>
      <c r="D10" s="56"/>
    </row>
    <row r="11">
      <c r="A11" s="39" t="s">
        <v>19</v>
      </c>
      <c r="B11" s="58" t="s">
        <v>1455</v>
      </c>
      <c r="C11" s="44"/>
      <c r="D11" s="56"/>
    </row>
    <row r="12">
      <c r="A12" s="41" t="s">
        <v>1456</v>
      </c>
      <c r="B12" s="44"/>
      <c r="C12" s="44"/>
      <c r="D12" s="56"/>
    </row>
    <row r="13">
      <c r="A13" s="44"/>
      <c r="B13" s="44"/>
      <c r="C13" s="44"/>
      <c r="D13" s="58" t="s">
        <v>1457</v>
      </c>
    </row>
    <row r="14">
      <c r="A14" s="39" t="s">
        <v>1458</v>
      </c>
      <c r="B14" s="44"/>
      <c r="C14" s="44"/>
      <c r="D14" s="59" t="s">
        <v>1459</v>
      </c>
    </row>
    <row r="15">
      <c r="A15" s="41" t="s">
        <v>42</v>
      </c>
      <c r="B15" s="56"/>
      <c r="C15" s="44"/>
      <c r="D15" s="56"/>
    </row>
    <row r="16">
      <c r="A16" s="44"/>
      <c r="B16" s="57" t="s">
        <v>1460</v>
      </c>
      <c r="C16" s="44"/>
      <c r="D16" s="58" t="s">
        <v>1461</v>
      </c>
    </row>
    <row r="17">
      <c r="A17" s="39" t="s">
        <v>1462</v>
      </c>
      <c r="B17" s="58" t="s">
        <v>1463</v>
      </c>
      <c r="C17" s="56"/>
      <c r="D17" s="58" t="s">
        <v>1464</v>
      </c>
    </row>
    <row r="18">
      <c r="A18" s="41" t="s">
        <v>44</v>
      </c>
      <c r="B18" s="44"/>
      <c r="C18" s="56"/>
      <c r="D18" s="56"/>
    </row>
    <row r="19">
      <c r="A19" s="44"/>
      <c r="B19" s="44"/>
      <c r="C19" s="58" t="s">
        <v>1465</v>
      </c>
      <c r="D19" s="56"/>
    </row>
    <row r="20">
      <c r="A20" s="39" t="s">
        <v>1466</v>
      </c>
      <c r="B20" s="44"/>
      <c r="C20" s="59" t="s">
        <v>1467</v>
      </c>
      <c r="D20" s="44"/>
    </row>
    <row r="21">
      <c r="A21" s="41" t="s">
        <v>1468</v>
      </c>
      <c r="B21" s="56"/>
      <c r="C21" s="56"/>
      <c r="D21" s="44"/>
    </row>
    <row r="22">
      <c r="A22" s="44"/>
      <c r="B22" s="57" t="s">
        <v>1469</v>
      </c>
      <c r="C22" s="56"/>
      <c r="D22" s="44"/>
    </row>
    <row r="23">
      <c r="A23" s="39" t="s">
        <v>1470</v>
      </c>
      <c r="B23" s="58" t="s">
        <v>1471</v>
      </c>
      <c r="C23" s="44"/>
      <c r="D23" s="44"/>
    </row>
    <row r="24">
      <c r="A24" s="41" t="s">
        <v>1472</v>
      </c>
      <c r="B24" s="44"/>
      <c r="C24" s="44"/>
      <c r="D24" s="44"/>
    </row>
  </sheetData>
  <drawing r:id="rId1"/>
</worksheet>
</file>